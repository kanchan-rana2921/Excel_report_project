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MY PROJECT\"/>
    </mc:Choice>
  </mc:AlternateContent>
  <xr:revisionPtr revIDLastSave="0" documentId="13_ncr:1_{7D06C2ED-3A9A-4CD1-A8D0-E3F0BE8340A4}" xr6:coauthVersionLast="47" xr6:coauthVersionMax="47" xr10:uidLastSave="{00000000-0000-0000-0000-000000000000}"/>
  <bookViews>
    <workbookView xWindow="-120" yWindow="-120" windowWidth="29040" windowHeight="15720" xr2:uid="{FDBCC005-978D-43B2-8339-F2D9C8FE6AFA}"/>
  </bookViews>
  <sheets>
    <sheet name=" Virnda Store Report 2024" sheetId="4" r:id="rId1"/>
    <sheet name="Sales Vs orders" sheetId="3" r:id="rId2"/>
    <sheet name="Men vs Women" sheetId="5" r:id="rId3"/>
    <sheet name="Order Status" sheetId="6" r:id="rId4"/>
    <sheet name="States" sheetId="7" r:id="rId5"/>
    <sheet name="Age &amp; Gender" sheetId="8" r:id="rId6"/>
    <sheet name="Channels" sheetId="10" r:id="rId7"/>
    <sheet name="Virnda store" sheetId="1" r:id="rId8"/>
  </sheets>
  <definedNames>
    <definedName name="_xlnm._FilterDatabase" localSheetId="7" hidden="1">'Virnda store'!$A$1:$T$41</definedName>
    <definedName name="Slicer_Category">#N/A</definedName>
    <definedName name="Slicer_Channel">#N/A</definedName>
    <definedName name="Slicer_Month">#N/A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3" i="1"/>
  <c r="H31" i="1"/>
  <c r="H32" i="1"/>
  <c r="H33" i="1"/>
  <c r="H34" i="1"/>
  <c r="H35" i="1"/>
  <c r="H36" i="1"/>
  <c r="H37" i="1"/>
  <c r="H38" i="1"/>
  <c r="H39" i="1"/>
  <c r="H40" i="1"/>
  <c r="H41" i="1"/>
  <c r="H4" i="1"/>
  <c r="H5" i="1"/>
  <c r="H6" i="1"/>
  <c r="H8" i="1"/>
  <c r="H9" i="1"/>
  <c r="H10" i="1"/>
  <c r="H12" i="1"/>
  <c r="H13" i="1"/>
  <c r="H14" i="1"/>
  <c r="H16" i="1"/>
  <c r="H17" i="1"/>
  <c r="H19" i="1"/>
  <c r="H20" i="1"/>
  <c r="H21" i="1"/>
  <c r="H22" i="1"/>
  <c r="H23" i="1"/>
  <c r="H24" i="1"/>
  <c r="H25" i="1"/>
  <c r="H26" i="1"/>
  <c r="H27" i="1"/>
  <c r="H28" i="1"/>
  <c r="H29" i="1"/>
  <c r="H30" i="1"/>
</calcChain>
</file>

<file path=xl/sharedStrings.xml><?xml version="1.0" encoding="utf-8"?>
<sst xmlns="http://schemas.openxmlformats.org/spreadsheetml/2006/main" count="502" uniqueCount="110">
  <si>
    <t>171-1029312-3038738</t>
  </si>
  <si>
    <t>405-2187364-3746378</t>
  </si>
  <si>
    <t>Cust ID</t>
  </si>
  <si>
    <t>273-6789347-2638378</t>
  </si>
  <si>
    <t>Gender</t>
  </si>
  <si>
    <t>women</t>
  </si>
  <si>
    <t>men</t>
  </si>
  <si>
    <t>Age</t>
  </si>
  <si>
    <t>Date</t>
  </si>
  <si>
    <t>Status</t>
  </si>
  <si>
    <t>delivered</t>
  </si>
  <si>
    <t>refunded</t>
  </si>
  <si>
    <t>Channel</t>
  </si>
  <si>
    <t>myntra</t>
  </si>
  <si>
    <t>ajio</t>
  </si>
  <si>
    <t>amazon</t>
  </si>
  <si>
    <t>flipkart</t>
  </si>
  <si>
    <t>meesho</t>
  </si>
  <si>
    <t>other</t>
  </si>
  <si>
    <t>nalli</t>
  </si>
  <si>
    <t>SKU</t>
  </si>
  <si>
    <t>Qty</t>
  </si>
  <si>
    <t>Amount</t>
  </si>
  <si>
    <t>INR</t>
  </si>
  <si>
    <t>ranchi</t>
  </si>
  <si>
    <t>patna</t>
  </si>
  <si>
    <t>jamshedpur</t>
  </si>
  <si>
    <t>delhi</t>
  </si>
  <si>
    <t>bokaro</t>
  </si>
  <si>
    <t>dhanbad</t>
  </si>
  <si>
    <t>hazaribag</t>
  </si>
  <si>
    <t>laatehar</t>
  </si>
  <si>
    <t>giridhi</t>
  </si>
  <si>
    <t>245-3546522-3673552</t>
  </si>
  <si>
    <t>255-3556522-3673552</t>
  </si>
  <si>
    <t>465-3554733-4676837</t>
  </si>
  <si>
    <t>354-7567354-4637457</t>
  </si>
  <si>
    <t>243-5365233-4562535</t>
  </si>
  <si>
    <t>456-6747332-4674673</t>
  </si>
  <si>
    <t>464-3546537-4637523</t>
  </si>
  <si>
    <t>544-3654765-4676463</t>
  </si>
  <si>
    <t>347-4673527-4673738</t>
  </si>
  <si>
    <t>464-7656674-4676578</t>
  </si>
  <si>
    <t>464-4637568-6764864</t>
  </si>
  <si>
    <t>465-3752563-4737645</t>
  </si>
  <si>
    <t>657-5635467-4675734</t>
  </si>
  <si>
    <t>467-4556543-3675354</t>
  </si>
  <si>
    <t>464-5876567-4675474</t>
  </si>
  <si>
    <t>564-6118888-7687273</t>
  </si>
  <si>
    <t>236-3565426-2575375</t>
  </si>
  <si>
    <t>354-3565256-5456625</t>
  </si>
  <si>
    <t>254-3676464-4452864</t>
  </si>
  <si>
    <t>222-4454555-4537635</t>
  </si>
  <si>
    <t>374-2656762-3567428</t>
  </si>
  <si>
    <t>254-2564864-3653875</t>
  </si>
  <si>
    <t>JNE1233-BLUE-KR-031-XXL</t>
  </si>
  <si>
    <t>SET414-KR-NP-L</t>
  </si>
  <si>
    <t>SET414-KR-PP-S</t>
  </si>
  <si>
    <t>XXL</t>
  </si>
  <si>
    <t>L</t>
  </si>
  <si>
    <t>S</t>
  </si>
  <si>
    <t>kurta</t>
  </si>
  <si>
    <t>set</t>
  </si>
  <si>
    <t>westurn dress</t>
  </si>
  <si>
    <t>top</t>
  </si>
  <si>
    <t>M</t>
  </si>
  <si>
    <t>XL</t>
  </si>
  <si>
    <t>XS</t>
  </si>
  <si>
    <t>3XL</t>
  </si>
  <si>
    <t>SET110-KR-PP-M</t>
  </si>
  <si>
    <t>JNE3801-KR-E-XL</t>
  </si>
  <si>
    <t>SET184-KR-PP-XS</t>
  </si>
  <si>
    <t>JO231-5KD-XXL</t>
  </si>
  <si>
    <t>Index</t>
  </si>
  <si>
    <t>Order ID</t>
  </si>
  <si>
    <t>Category</t>
  </si>
  <si>
    <t>Size</t>
  </si>
  <si>
    <t>Currency</t>
  </si>
  <si>
    <t>Ship-City</t>
  </si>
  <si>
    <t>235-3657657-3658738</t>
  </si>
  <si>
    <t>365-253454-24254444</t>
  </si>
  <si>
    <t>231-334353-24555667</t>
  </si>
  <si>
    <t>234-455667-33445566</t>
  </si>
  <si>
    <t>356-476756-67867579</t>
  </si>
  <si>
    <t>465-264676-36768764</t>
  </si>
  <si>
    <t>254-862675-37437276</t>
  </si>
  <si>
    <t>254-565748-36573658</t>
  </si>
  <si>
    <t>254-565847-76764673</t>
  </si>
  <si>
    <t>587-367657-56748656</t>
  </si>
  <si>
    <t>675-567476-56874675</t>
  </si>
  <si>
    <t>555-757868-37656765</t>
  </si>
  <si>
    <t>362-476567-26757665</t>
  </si>
  <si>
    <t>267-647657-46757373</t>
  </si>
  <si>
    <t>354-565868-57687646</t>
  </si>
  <si>
    <t>Ship-postal-code</t>
  </si>
  <si>
    <t>Ship-counter</t>
  </si>
  <si>
    <t>B2B</t>
  </si>
  <si>
    <t>IN</t>
  </si>
  <si>
    <t>Age group</t>
  </si>
  <si>
    <t>adult</t>
  </si>
  <si>
    <t>Teenager</t>
  </si>
  <si>
    <t>senior</t>
  </si>
  <si>
    <t>Month</t>
  </si>
  <si>
    <t>Sum of Amount</t>
  </si>
  <si>
    <t>Count of Order ID</t>
  </si>
  <si>
    <t>Row Labels</t>
  </si>
  <si>
    <t>Nov</t>
  </si>
  <si>
    <t>Dec</t>
  </si>
  <si>
    <t>Column Labels</t>
  </si>
  <si>
    <t xml:space="preserve"> Yasodha Store Annual Report 2025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</si>
</sst>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sz val="8"/>
      <name val="Calibri"/>
      <family val="2"/>
      <scheme val="minor"/>
    </font>
    <font>
      <b/>
      <sz val="16"/>
      <color theme="7" tint="0.79998168889431442"/>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tint="-0.14999847407452621"/>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1">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4" borderId="0" xfId="0" applyFill="1"/>
    <xf numFmtId="10" fontId="0" fillId="0" borderId="0" xfId="0" applyNumberFormat="1"/>
    <xf numFmtId="164" fontId="0" fillId="0" borderId="0" xfId="0" applyNumberFormat="1"/>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cellXfs>
  <cellStyles count="1">
    <cellStyle name="Normal" xfId="0" builtinId="0"/>
  </cellStyles>
  <dxfs count="2">
    <dxf>
      <numFmt numFmtId="164" formatCode="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[sales.exl.xlsx]Sales Vs orders!PivotTable2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 Vs Sales</a:t>
            </a:r>
          </a:p>
        </c:rich>
      </c:tx>
      <c:layout>
        <c:manualLayout>
          <c:xMode val="edge"/>
          <c:yMode val="edge"/>
          <c:x val="0.24070441793578198"/>
          <c:y val="7.42857142857142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55413582284249"/>
          <c:y val="0.26429208848893881"/>
          <c:w val="0.79025294364246135"/>
          <c:h val="0.64657292838395208"/>
        </c:manualLayout>
      </c:layout>
      <c:barChart>
        <c:barDir val="col"/>
        <c:grouping val="clustered"/>
        <c:varyColors val="0"/>
        <c:ser>
          <c:idx val="0"/>
          <c:order val="0"/>
          <c:tx>
            <c:strRef>
              <c:f>'Sales Vs orders'!$B$3</c:f>
              <c:strCache>
                <c:ptCount val="1"/>
                <c:pt idx="0">
                  <c:v>Sum of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Vs orders'!$A$4:$A$5</c:f>
              <c:strCache>
                <c:ptCount val="2"/>
                <c:pt idx="0">
                  <c:v>Nov</c:v>
                </c:pt>
                <c:pt idx="1">
                  <c:v>Dec</c:v>
                </c:pt>
              </c:strCache>
            </c:strRef>
          </c:cat>
          <c:val>
            <c:numRef>
              <c:f>'Sales Vs orders'!$B$4:$B$5</c:f>
              <c:numCache>
                <c:formatCode>General</c:formatCode>
                <c:ptCount val="2"/>
                <c:pt idx="0">
                  <c:v>15462</c:v>
                </c:pt>
                <c:pt idx="1">
                  <c:v>47771</c:v>
                </c:pt>
              </c:numCache>
            </c:numRef>
          </c:val>
          <c:extLst>
            <c:ext xmlns:c16="http://schemas.microsoft.com/office/drawing/2014/chart" uri="{C3380CC4-5D6E-409C-BE32-E72D297353CC}">
              <c16:uniqueId val="{00000003-C012-4690-923B-7D6D65694339}"/>
            </c:ext>
          </c:extLst>
        </c:ser>
        <c:ser>
          <c:idx val="1"/>
          <c:order val="1"/>
          <c:tx>
            <c:strRef>
              <c:f>'Sales Vs orders'!$C$3</c:f>
              <c:strCache>
                <c:ptCount val="1"/>
                <c:pt idx="0">
                  <c:v>Count of Order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invertIfNegative val="0"/>
          <c:cat>
            <c:strRef>
              <c:f>'Sales Vs orders'!$A$4:$A$5</c:f>
              <c:strCache>
                <c:ptCount val="2"/>
                <c:pt idx="0">
                  <c:v>Nov</c:v>
                </c:pt>
                <c:pt idx="1">
                  <c:v>Dec</c:v>
                </c:pt>
              </c:strCache>
            </c:strRef>
          </c:cat>
          <c:val>
            <c:numRef>
              <c:f>'Sales Vs orders'!$C$4:$C$5</c:f>
              <c:numCache>
                <c:formatCode>General</c:formatCode>
                <c:ptCount val="2"/>
                <c:pt idx="0">
                  <c:v>13</c:v>
                </c:pt>
                <c:pt idx="1">
                  <c:v>27</c:v>
                </c:pt>
              </c:numCache>
            </c:numRef>
          </c:val>
          <c:extLst>
            <c:ext xmlns:c16="http://schemas.microsoft.com/office/drawing/2014/chart" uri="{C3380CC4-5D6E-409C-BE32-E72D297353CC}">
              <c16:uniqueId val="{00000004-C012-4690-923B-7D6D65694339}"/>
            </c:ext>
          </c:extLst>
        </c:ser>
        <c:dLbls>
          <c:showLegendKey val="0"/>
          <c:showVal val="0"/>
          <c:showCatName val="0"/>
          <c:showSerName val="0"/>
          <c:showPercent val="0"/>
          <c:showBubbleSize val="0"/>
        </c:dLbls>
        <c:gapWidth val="219"/>
        <c:overlap val="-27"/>
        <c:axId val="1576621232"/>
        <c:axId val="1576621712"/>
      </c:barChart>
      <c:catAx>
        <c:axId val="1576621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6621712"/>
        <c:crosses val="autoZero"/>
        <c:auto val="1"/>
        <c:lblAlgn val="ctr"/>
        <c:lblOffset val="100"/>
        <c:noMultiLvlLbl val="0"/>
      </c:catAx>
      <c:valAx>
        <c:axId val="1576621712"/>
        <c:scaling>
          <c:orientation val="minMax"/>
        </c:scaling>
        <c:delete val="0"/>
        <c:axPos val="l"/>
        <c:majorGridlines>
          <c:spPr>
            <a:ln w="9525" cap="flat" cmpd="sng" algn="ctr">
              <a:solidFill>
                <a:schemeClr val="lt1">
                  <a:lumMod val="95000"/>
                  <a:alpha val="10000"/>
                </a:schemeClr>
              </a:solidFill>
              <a:round/>
            </a:ln>
            <a:effectLst/>
          </c:spPr>
        </c:majorGridlines>
        <c:numFmt formatCode="\2.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6621232"/>
        <c:crosses val="autoZero"/>
        <c:crossBetween val="between"/>
      </c:valAx>
      <c:spPr>
        <a:noFill/>
        <a:ln>
          <a:noFill/>
        </a:ln>
        <a:effectLst/>
      </c:spPr>
    </c:plotArea>
    <c:legend>
      <c:legendPos val="r"/>
      <c:layout>
        <c:manualLayout>
          <c:xMode val="edge"/>
          <c:yMode val="edge"/>
          <c:x val="0.56927201308740527"/>
          <c:y val="3.638055881312708E-2"/>
          <c:w val="0.23047046345234243"/>
          <c:h val="0.19946948120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[sales.exl.xlsx]Men vs Women!PivotTable1</c:name>
    <c:fmtId val="3"/>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Sales:Mens Vs Womens</a:t>
            </a:r>
          </a:p>
        </c:rich>
      </c:tx>
      <c:layout>
        <c:manualLayout>
          <c:xMode val="edge"/>
          <c:yMode val="edge"/>
          <c:x val="0.14406106408280733"/>
          <c:y val="4.1666879018763432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0277777777777777"/>
              <c:y val="0.1388888888888889"/>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1388888888888889"/>
              <c:y val="-0.20833333333333334"/>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0277777777777777"/>
              <c:y val="0.1388888888888889"/>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11388888888888889"/>
              <c:y val="-0.20833333333333334"/>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065082012201558"/>
              <c:y val="0.1604638619201725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538135145975385"/>
              <c:y val="-0.18675814794995285"/>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'Men vs Women'!$B$3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70A-4B74-881D-205E04C6819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70A-4B74-881D-205E04C68196}"/>
              </c:ext>
            </c:extLst>
          </c:dPt>
          <c:dLbls>
            <c:dLbl>
              <c:idx val="0"/>
              <c:layout>
                <c:manualLayout>
                  <c:x val="-0.12065082012201558"/>
                  <c:y val="0.1604638619201725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70A-4B74-881D-205E04C68196}"/>
                </c:ext>
              </c:extLst>
            </c:dLbl>
            <c:dLbl>
              <c:idx val="1"/>
              <c:layout>
                <c:manualLayout>
                  <c:x val="0.18538135145975385"/>
                  <c:y val="-0.1867581479499528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70A-4B74-881D-205E04C68196}"/>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Women'!$A$4:$A$5</c:f>
              <c:strCache>
                <c:ptCount val="2"/>
                <c:pt idx="0">
                  <c:v>men</c:v>
                </c:pt>
                <c:pt idx="1">
                  <c:v>women</c:v>
                </c:pt>
              </c:strCache>
            </c:strRef>
          </c:cat>
          <c:val>
            <c:numRef>
              <c:f>'Men vs Women'!$B$4:$B$5</c:f>
              <c:numCache>
                <c:formatCode>General</c:formatCode>
                <c:ptCount val="2"/>
                <c:pt idx="0">
                  <c:v>13199</c:v>
                </c:pt>
                <c:pt idx="1">
                  <c:v>50034</c:v>
                </c:pt>
              </c:numCache>
            </c:numRef>
          </c:val>
          <c:extLst>
            <c:ext xmlns:c16="http://schemas.microsoft.com/office/drawing/2014/chart" uri="{C3380CC4-5D6E-409C-BE32-E72D297353CC}">
              <c16:uniqueId val="{00000007-B95F-4947-93E6-FDD7CC8CBA0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088197420362665"/>
          <c:y val="0.24741015382785889"/>
          <c:w val="0.16692248146401054"/>
          <c:h val="0.198764642052252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[sales.exl.xlsx]Order Status!PivotTable2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4.2041731657051218E-3"/>
              <c:y val="5.059094409605984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9.1196073641152869E-2"/>
          <c:y val="0.20945628428183005"/>
          <c:w val="0.58641591340461918"/>
          <c:h val="0.7356534961572917"/>
        </c:manualLayout>
      </c:layout>
      <c:pieChart>
        <c:varyColors val="1"/>
        <c:ser>
          <c:idx val="0"/>
          <c:order val="0"/>
          <c:tx>
            <c:strRef>
              <c:f>'Order Status'!$B$3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0FE-4BAA-ACB7-656A3B63092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0FE-4BAA-ACB7-656A3B630926}"/>
              </c:ext>
            </c:extLst>
          </c:dPt>
          <c:dLbls>
            <c:dLbl>
              <c:idx val="1"/>
              <c:layout>
                <c:manualLayout>
                  <c:x val="-4.2041731657051218E-3"/>
                  <c:y val="5.05909440960598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0FE-4BAA-ACB7-656A3B63092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'Order Status'!$A$4:$A$5</c:f>
              <c:strCache>
                <c:ptCount val="2"/>
                <c:pt idx="0">
                  <c:v>delivered</c:v>
                </c:pt>
                <c:pt idx="1">
                  <c:v>refunded</c:v>
                </c:pt>
              </c:strCache>
            </c:strRef>
          </c:cat>
          <c:val>
            <c:numRef>
              <c:f>'Order Status'!$B$4:$B$5</c:f>
              <c:numCache>
                <c:formatCode>General</c:formatCode>
                <c:ptCount val="2"/>
                <c:pt idx="0">
                  <c:v>36</c:v>
                </c:pt>
                <c:pt idx="1">
                  <c:v>4</c:v>
                </c:pt>
              </c:numCache>
            </c:numRef>
          </c:val>
          <c:extLst>
            <c:ext xmlns:c16="http://schemas.microsoft.com/office/drawing/2014/chart" uri="{C3380CC4-5D6E-409C-BE32-E72D297353CC}">
              <c16:uniqueId val="{00000007-7B40-4A2B-B028-6A69F21E8D64}"/>
            </c:ext>
          </c:extLst>
        </c:ser>
        <c:dLbls>
          <c:dLblPos val="ctr"/>
          <c:showLegendKey val="0"/>
          <c:showVal val="0"/>
          <c:showCatName val="0"/>
          <c:showSerName val="0"/>
          <c:showPercent val="1"/>
          <c:showBubbleSize val="0"/>
          <c:showLeaderLines val="1"/>
        </c:dLbls>
        <c:firstSliceAng val="100"/>
      </c:pieChart>
      <c:spPr>
        <a:noFill/>
        <a:ln>
          <a:noFill/>
        </a:ln>
        <a:effectLst/>
      </c:spPr>
    </c:plotArea>
    <c:legend>
      <c:legendPos val="r"/>
      <c:layout>
        <c:manualLayout>
          <c:xMode val="edge"/>
          <c:yMode val="edge"/>
          <c:x val="0.7409639874967896"/>
          <c:y val="0.22361458185990218"/>
          <c:w val="0.19159653495147969"/>
          <c:h val="0.2075660284161897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[sales.exl.xlsx]States!PivotTable3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Sales:Top</a:t>
            </a:r>
            <a:r>
              <a:rPr lang="en-US" baseline="0">
                <a:solidFill>
                  <a:schemeClr val="bg1"/>
                </a:solidFill>
              </a:rPr>
              <a:t> 5 States</a:t>
            </a:r>
            <a:endParaRPr lang="en-US">
              <a:solidFill>
                <a:schemeClr val="bg1"/>
              </a:solidFill>
            </a:endParaRPr>
          </a:p>
        </c:rich>
      </c:tx>
      <c:layout>
        <c:manualLayout>
          <c:xMode val="edge"/>
          <c:yMode val="edge"/>
          <c:x val="0.332236001749781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66461436917636"/>
          <c:y val="0.20448717948717948"/>
          <c:w val="0.7335078817505376"/>
          <c:h val="0.64866976855165837"/>
        </c:manualLayout>
      </c:layout>
      <c:barChart>
        <c:barDir val="bar"/>
        <c:grouping val="clustered"/>
        <c:varyColors val="0"/>
        <c:ser>
          <c:idx val="0"/>
          <c:order val="0"/>
          <c:tx>
            <c:strRef>
              <c:f>States!$B$3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States!$A$4:$A$8</c:f>
              <c:strCache>
                <c:ptCount val="5"/>
                <c:pt idx="0">
                  <c:v>bokaro</c:v>
                </c:pt>
                <c:pt idx="1">
                  <c:v>hazaribag</c:v>
                </c:pt>
                <c:pt idx="2">
                  <c:v>jamshedpur</c:v>
                </c:pt>
                <c:pt idx="3">
                  <c:v>patna</c:v>
                </c:pt>
                <c:pt idx="4">
                  <c:v>ranchi</c:v>
                </c:pt>
              </c:strCache>
            </c:strRef>
          </c:cat>
          <c:val>
            <c:numRef>
              <c:f>States!$B$4:$B$8</c:f>
              <c:numCache>
                <c:formatCode>General</c:formatCode>
                <c:ptCount val="5"/>
                <c:pt idx="0">
                  <c:v>2291</c:v>
                </c:pt>
                <c:pt idx="1">
                  <c:v>31302</c:v>
                </c:pt>
                <c:pt idx="2">
                  <c:v>3765</c:v>
                </c:pt>
                <c:pt idx="3">
                  <c:v>5582</c:v>
                </c:pt>
                <c:pt idx="4">
                  <c:v>18069</c:v>
                </c:pt>
              </c:numCache>
            </c:numRef>
          </c:val>
          <c:extLst>
            <c:ext xmlns:c16="http://schemas.microsoft.com/office/drawing/2014/chart" uri="{C3380CC4-5D6E-409C-BE32-E72D297353CC}">
              <c16:uniqueId val="{00000003-6AB8-46C8-9D1E-7197BCA0F5DC}"/>
            </c:ext>
          </c:extLst>
        </c:ser>
        <c:dLbls>
          <c:dLblPos val="outEnd"/>
          <c:showLegendKey val="0"/>
          <c:showVal val="1"/>
          <c:showCatName val="0"/>
          <c:showSerName val="0"/>
          <c:showPercent val="0"/>
          <c:showBubbleSize val="0"/>
        </c:dLbls>
        <c:gapWidth val="182"/>
        <c:axId val="961507504"/>
        <c:axId val="961510864"/>
      </c:barChart>
      <c:catAx>
        <c:axId val="96150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1510864"/>
        <c:crosses val="autoZero"/>
        <c:auto val="1"/>
        <c:lblAlgn val="ctr"/>
        <c:lblOffset val="100"/>
        <c:noMultiLvlLbl val="0"/>
      </c:catAx>
      <c:valAx>
        <c:axId val="961510864"/>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150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[sales.exl.xlsx]Age &amp; Gender!PivotTable4</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Orders:Age Vs Gender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34350865279418"/>
          <c:y val="0.16708335728106979"/>
          <c:w val="0.71594225721784777"/>
          <c:h val="0.72088764946048411"/>
        </c:manualLayout>
      </c:layout>
      <c:barChart>
        <c:barDir val="col"/>
        <c:grouping val="clustered"/>
        <c:varyColors val="0"/>
        <c:ser>
          <c:idx val="0"/>
          <c:order val="0"/>
          <c:tx>
            <c:strRef>
              <c:f>'Age &amp; Gender'!$B$3:$B$4</c:f>
              <c:strCache>
                <c:ptCount val="1"/>
                <c:pt idx="0">
                  <c:v>men</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'Age &amp; Gender'!$A$5:$A$7</c:f>
              <c:strCache>
                <c:ptCount val="3"/>
                <c:pt idx="0">
                  <c:v>adult</c:v>
                </c:pt>
                <c:pt idx="1">
                  <c:v>senior</c:v>
                </c:pt>
                <c:pt idx="2">
                  <c:v>Teenager</c:v>
                </c:pt>
              </c:strCache>
            </c:strRef>
          </c:cat>
          <c:val>
            <c:numRef>
              <c:f>'Age &amp; Gender'!$B$5:$B$7</c:f>
              <c:numCache>
                <c:formatCode>0.00%</c:formatCode>
                <c:ptCount val="3"/>
                <c:pt idx="0">
                  <c:v>0.1</c:v>
                </c:pt>
                <c:pt idx="1">
                  <c:v>0.05</c:v>
                </c:pt>
                <c:pt idx="2">
                  <c:v>0.25</c:v>
                </c:pt>
              </c:numCache>
            </c:numRef>
          </c:val>
          <c:extLst>
            <c:ext xmlns:c16="http://schemas.microsoft.com/office/drawing/2014/chart" uri="{C3380CC4-5D6E-409C-BE32-E72D297353CC}">
              <c16:uniqueId val="{00000005-16E9-42F5-82C3-6AFF0DA13048}"/>
            </c:ext>
          </c:extLst>
        </c:ser>
        <c:ser>
          <c:idx val="1"/>
          <c:order val="1"/>
          <c:tx>
            <c:strRef>
              <c:f>'Age &amp; Gender'!$C$3:$C$4</c:f>
              <c:strCache>
                <c:ptCount val="1"/>
                <c:pt idx="0">
                  <c:v>women</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'Age &amp; Gender'!$A$5:$A$7</c:f>
              <c:strCache>
                <c:ptCount val="3"/>
                <c:pt idx="0">
                  <c:v>adult</c:v>
                </c:pt>
                <c:pt idx="1">
                  <c:v>senior</c:v>
                </c:pt>
                <c:pt idx="2">
                  <c:v>Teenager</c:v>
                </c:pt>
              </c:strCache>
            </c:strRef>
          </c:cat>
          <c:val>
            <c:numRef>
              <c:f>'Age &amp; Gender'!$C$5:$C$7</c:f>
              <c:numCache>
                <c:formatCode>0.00%</c:formatCode>
                <c:ptCount val="3"/>
                <c:pt idx="0">
                  <c:v>0.27500000000000002</c:v>
                </c:pt>
                <c:pt idx="1">
                  <c:v>2.5000000000000001E-2</c:v>
                </c:pt>
                <c:pt idx="2">
                  <c:v>0.3</c:v>
                </c:pt>
              </c:numCache>
            </c:numRef>
          </c:val>
          <c:extLst>
            <c:ext xmlns:c16="http://schemas.microsoft.com/office/drawing/2014/chart" uri="{C3380CC4-5D6E-409C-BE32-E72D297353CC}">
              <c16:uniqueId val="{00000001-1B8F-43A3-945B-C93E6FAD6986}"/>
            </c:ext>
          </c:extLst>
        </c:ser>
        <c:dLbls>
          <c:showLegendKey val="0"/>
          <c:showVal val="0"/>
          <c:showCatName val="0"/>
          <c:showSerName val="0"/>
          <c:showPercent val="0"/>
          <c:showBubbleSize val="0"/>
        </c:dLbls>
        <c:gapWidth val="315"/>
        <c:overlap val="-40"/>
        <c:axId val="961846800"/>
        <c:axId val="961847760"/>
      </c:barChart>
      <c:catAx>
        <c:axId val="9618468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1847760"/>
        <c:crosses val="autoZero"/>
        <c:auto val="1"/>
        <c:lblAlgn val="ctr"/>
        <c:lblOffset val="100"/>
        <c:noMultiLvlLbl val="0"/>
      </c:catAx>
      <c:valAx>
        <c:axId val="9618477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1846800"/>
        <c:crosses val="autoZero"/>
        <c:crossBetween val="between"/>
      </c:valAx>
      <c:spPr>
        <a:noFill/>
        <a:ln>
          <a:noFill/>
        </a:ln>
        <a:effectLst/>
      </c:spPr>
    </c:plotArea>
    <c:legend>
      <c:legendPos val="r"/>
      <c:layout>
        <c:manualLayout>
          <c:xMode val="edge"/>
          <c:yMode val="edge"/>
          <c:x val="0.80703718285214354"/>
          <c:y val="0.11168926800816567"/>
          <c:w val="0.1364300507634286"/>
          <c:h val="0.205293407667107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[sales.exl.xlsx]Channels!PivotTable5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Orders:Channels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Channels!$B$3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957-4A85-BE74-B74228E90C16}"/>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957-4A85-BE74-B74228E90C16}"/>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957-4A85-BE74-B74228E90C16}"/>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957-4A85-BE74-B74228E90C16}"/>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957-4A85-BE74-B74228E90C16}"/>
              </c:ext>
            </c:extLst>
          </c:dPt>
          <c:dPt>
            <c:idx val="5"/>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957-4A85-BE74-B74228E90C16}"/>
              </c:ext>
            </c:extLst>
          </c:dPt>
          <c:dPt>
            <c:idx val="6"/>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957-4A85-BE74-B74228E90C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Channels!$A$4:$A$10</c:f>
              <c:strCache>
                <c:ptCount val="7"/>
                <c:pt idx="0">
                  <c:v>ajio</c:v>
                </c:pt>
                <c:pt idx="1">
                  <c:v>amazon</c:v>
                </c:pt>
                <c:pt idx="2">
                  <c:v>flipkart</c:v>
                </c:pt>
                <c:pt idx="3">
                  <c:v>meesho</c:v>
                </c:pt>
                <c:pt idx="4">
                  <c:v>myntra</c:v>
                </c:pt>
                <c:pt idx="5">
                  <c:v>nalli</c:v>
                </c:pt>
                <c:pt idx="6">
                  <c:v>other</c:v>
                </c:pt>
              </c:strCache>
            </c:strRef>
          </c:cat>
          <c:val>
            <c:numRef>
              <c:f>Channels!$B$4:$B$10</c:f>
              <c:numCache>
                <c:formatCode>0.0%</c:formatCode>
                <c:ptCount val="7"/>
                <c:pt idx="0">
                  <c:v>0.05</c:v>
                </c:pt>
                <c:pt idx="1">
                  <c:v>0.42499999999999999</c:v>
                </c:pt>
                <c:pt idx="2">
                  <c:v>0.125</c:v>
                </c:pt>
                <c:pt idx="3">
                  <c:v>0.125</c:v>
                </c:pt>
                <c:pt idx="4">
                  <c:v>0.22500000000000001</c:v>
                </c:pt>
                <c:pt idx="5">
                  <c:v>2.5000000000000001E-2</c:v>
                </c:pt>
                <c:pt idx="6">
                  <c:v>2.5000000000000001E-2</c:v>
                </c:pt>
              </c:numCache>
            </c:numRef>
          </c:val>
          <c:extLst>
            <c:ext xmlns:c16="http://schemas.microsoft.com/office/drawing/2014/chart" uri="{C3380CC4-5D6E-409C-BE32-E72D297353CC}">
              <c16:uniqueId val="{00000011-0F6F-470C-B46A-33F65E24EBB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[sales.exl.xlsx]Sales Vs orders!PivotTable2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Vs Sales</a:t>
            </a:r>
          </a:p>
          <a:p>
            <a:pPr>
              <a:defRPr/>
            </a:pPr>
            <a:endParaRPr lang="en-US"/>
          </a:p>
        </c:rich>
      </c:tx>
      <c:layout>
        <c:manualLayout>
          <c:xMode val="edge"/>
          <c:yMode val="edge"/>
          <c:x val="0.2407045148002333"/>
          <c:y val="2.66666666666666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11045494313211"/>
          <c:y val="0.24524444444444443"/>
          <c:w val="0.79025294364246135"/>
          <c:h val="0.65609658792650916"/>
        </c:manualLayout>
      </c:layout>
      <c:barChart>
        <c:barDir val="col"/>
        <c:grouping val="clustered"/>
        <c:varyColors val="0"/>
        <c:ser>
          <c:idx val="0"/>
          <c:order val="0"/>
          <c:tx>
            <c:strRef>
              <c:f>'Sales Vs orders'!$B$3</c:f>
              <c:strCache>
                <c:ptCount val="1"/>
                <c:pt idx="0">
                  <c:v>Sum of Amount</c:v>
                </c:pt>
              </c:strCache>
            </c:strRef>
          </c:tx>
          <c:spPr>
            <a:solidFill>
              <a:schemeClr val="accent1"/>
            </a:solidFill>
            <a:ln>
              <a:noFill/>
            </a:ln>
            <a:effectLst/>
          </c:spPr>
          <c:invertIfNegative val="0"/>
          <c:cat>
            <c:strRef>
              <c:f>'Sales Vs orders'!$A$4:$A$5</c:f>
              <c:strCache>
                <c:ptCount val="2"/>
                <c:pt idx="0">
                  <c:v>Nov</c:v>
                </c:pt>
                <c:pt idx="1">
                  <c:v>Dec</c:v>
                </c:pt>
              </c:strCache>
            </c:strRef>
          </c:cat>
          <c:val>
            <c:numRef>
              <c:f>'Sales Vs orders'!$B$4:$B$5</c:f>
              <c:numCache>
                <c:formatCode>General</c:formatCode>
                <c:ptCount val="2"/>
                <c:pt idx="0">
                  <c:v>15462</c:v>
                </c:pt>
                <c:pt idx="1">
                  <c:v>47771</c:v>
                </c:pt>
              </c:numCache>
            </c:numRef>
          </c:val>
          <c:extLst>
            <c:ext xmlns:c16="http://schemas.microsoft.com/office/drawing/2014/chart" uri="{C3380CC4-5D6E-409C-BE32-E72D297353CC}">
              <c16:uniqueId val="{00000002-4DA0-4659-8E7D-57699DC5DDED}"/>
            </c:ext>
          </c:extLst>
        </c:ser>
        <c:ser>
          <c:idx val="1"/>
          <c:order val="1"/>
          <c:tx>
            <c:strRef>
              <c:f>'Sales Vs orders'!$C$3</c:f>
              <c:strCache>
                <c:ptCount val="1"/>
                <c:pt idx="0">
                  <c:v>Count of Order ID</c:v>
                </c:pt>
              </c:strCache>
            </c:strRef>
          </c:tx>
          <c:spPr>
            <a:solidFill>
              <a:schemeClr val="accent2"/>
            </a:solidFill>
            <a:ln w="25400">
              <a:noFill/>
            </a:ln>
            <a:effectLst/>
          </c:spPr>
          <c:invertIfNegative val="0"/>
          <c:cat>
            <c:strRef>
              <c:f>'Sales Vs orders'!$A$4:$A$5</c:f>
              <c:strCache>
                <c:ptCount val="2"/>
                <c:pt idx="0">
                  <c:v>Nov</c:v>
                </c:pt>
                <c:pt idx="1">
                  <c:v>Dec</c:v>
                </c:pt>
              </c:strCache>
            </c:strRef>
          </c:cat>
          <c:val>
            <c:numRef>
              <c:f>'Sales Vs orders'!$C$4:$C$5</c:f>
              <c:numCache>
                <c:formatCode>General</c:formatCode>
                <c:ptCount val="2"/>
                <c:pt idx="0">
                  <c:v>13</c:v>
                </c:pt>
                <c:pt idx="1">
                  <c:v>27</c:v>
                </c:pt>
              </c:numCache>
            </c:numRef>
          </c:val>
          <c:extLst>
            <c:ext xmlns:c16="http://schemas.microsoft.com/office/drawing/2014/chart" uri="{C3380CC4-5D6E-409C-BE32-E72D297353CC}">
              <c16:uniqueId val="{00000003-4DA0-4659-8E7D-57699DC5DDED}"/>
            </c:ext>
          </c:extLst>
        </c:ser>
        <c:dLbls>
          <c:showLegendKey val="0"/>
          <c:showVal val="0"/>
          <c:showCatName val="0"/>
          <c:showSerName val="0"/>
          <c:showPercent val="0"/>
          <c:showBubbleSize val="0"/>
        </c:dLbls>
        <c:gapWidth val="219"/>
        <c:overlap val="-27"/>
        <c:axId val="1576621232"/>
        <c:axId val="1576621712"/>
      </c:barChart>
      <c:catAx>
        <c:axId val="157662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621712"/>
        <c:crosses val="autoZero"/>
        <c:auto val="1"/>
        <c:lblAlgn val="ctr"/>
        <c:lblOffset val="100"/>
        <c:noMultiLvlLbl val="0"/>
      </c:catAx>
      <c:valAx>
        <c:axId val="1576621712"/>
        <c:scaling>
          <c:orientation val="minMax"/>
        </c:scaling>
        <c:delete val="0"/>
        <c:axPos val="l"/>
        <c:numFmt formatCode="\2.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621232"/>
        <c:crosses val="autoZero"/>
        <c:crossBetween val="between"/>
      </c:valAx>
      <c:spPr>
        <a:noFill/>
        <a:ln>
          <a:noFill/>
        </a:ln>
        <a:effectLst/>
      </c:spPr>
    </c:plotArea>
    <c:legend>
      <c:legendPos val="r"/>
      <c:layout>
        <c:manualLayout>
          <c:xMode val="edge"/>
          <c:yMode val="edge"/>
          <c:x val="0.58924912510936134"/>
          <c:y val="2.4560190111371213E-2"/>
          <c:w val="0.39130643044619423"/>
          <c:h val="0.113958643683053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[sales.exl.xlsx]Men vs Women!PivotTable1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Sales:Mens</a:t>
            </a:r>
            <a:r>
              <a:rPr lang="en-US" baseline="0"/>
              <a:t> Vs Womens</a:t>
            </a:r>
            <a:endParaRPr lang="en-US"/>
          </a:p>
        </c:rich>
      </c:tx>
      <c:layout>
        <c:manualLayout>
          <c:xMode val="edge"/>
          <c:yMode val="edge"/>
          <c:x val="0.19768044619422573"/>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277777777777777"/>
              <c:y val="0.1388888888888889"/>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388888888888889"/>
              <c:y val="-0.20833333333333334"/>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0277777777777777"/>
              <c:y val="0.1388888888888889"/>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'Men vs Women'!$B$3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6B-497F-B85F-633671021D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6B-497F-B85F-633671021DE0}"/>
              </c:ext>
            </c:extLst>
          </c:dPt>
          <c:dLbls>
            <c:dLbl>
              <c:idx val="0"/>
              <c:layout>
                <c:manualLayout>
                  <c:x val="-0.10277777777777777"/>
                  <c:y val="0.1388888888888889"/>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C86B-497F-B85F-633671021DE0}"/>
                </c:ext>
              </c:extLst>
            </c:dLbl>
            <c:dLbl>
              <c:idx val="1"/>
              <c:layout>
                <c:manualLayout>
                  <c:x val="0.11388888888888889"/>
                  <c:y val="-0.20833333333333334"/>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86B-497F-B85F-633671021DE0}"/>
                </c:ext>
              </c:extLst>
            </c:dLbl>
            <c:spPr>
              <a:noFill/>
              <a:ln>
                <a:noFill/>
              </a:ln>
              <a:effectLst/>
            </c:spPr>
            <c:txPr>
              <a:bodyPr rot="0" spcFirstLastPara="1" vertOverflow="clip" horzOverflow="clip"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Women'!$A$4:$A$5</c:f>
              <c:strCache>
                <c:ptCount val="2"/>
                <c:pt idx="0">
                  <c:v>men</c:v>
                </c:pt>
                <c:pt idx="1">
                  <c:v>women</c:v>
                </c:pt>
              </c:strCache>
            </c:strRef>
          </c:cat>
          <c:val>
            <c:numRef>
              <c:f>'Men vs Women'!$B$4:$B$5</c:f>
              <c:numCache>
                <c:formatCode>General</c:formatCode>
                <c:ptCount val="2"/>
                <c:pt idx="0">
                  <c:v>13199</c:v>
                </c:pt>
                <c:pt idx="1">
                  <c:v>50034</c:v>
                </c:pt>
              </c:numCache>
            </c:numRef>
          </c:val>
          <c:extLst>
            <c:ext xmlns:c16="http://schemas.microsoft.com/office/drawing/2014/chart" uri="{C3380CC4-5D6E-409C-BE32-E72D297353CC}">
              <c16:uniqueId val="{00000005-3409-40E1-B564-8B4D53EAB78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[sales.exl.xlsx]Order Status!PivotTable2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C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42-433E-8D66-E37AF696F872}"/>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4142-433E-8D66-E37AF696F872}"/>
              </c:ext>
            </c:extLst>
          </c:dPt>
          <c:dLbls>
            <c:spPr>
              <a:solidFill>
                <a:srgbClr val="C00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Status'!$A$4:$A$5</c:f>
              <c:strCache>
                <c:ptCount val="2"/>
                <c:pt idx="0">
                  <c:v>delivered</c:v>
                </c:pt>
                <c:pt idx="1">
                  <c:v>refunded</c:v>
                </c:pt>
              </c:strCache>
            </c:strRef>
          </c:cat>
          <c:val>
            <c:numRef>
              <c:f>'Order Status'!$B$4:$B$5</c:f>
              <c:numCache>
                <c:formatCode>General</c:formatCode>
                <c:ptCount val="2"/>
                <c:pt idx="0">
                  <c:v>36</c:v>
                </c:pt>
                <c:pt idx="1">
                  <c:v>4</c:v>
                </c:pt>
              </c:numCache>
            </c:numRef>
          </c:val>
          <c:extLst>
            <c:ext xmlns:c16="http://schemas.microsoft.com/office/drawing/2014/chart" uri="{C3380CC4-5D6E-409C-BE32-E72D297353CC}">
              <c16:uniqueId val="{00000005-85FD-4032-B042-274557ED5224}"/>
            </c:ext>
          </c:extLst>
        </c:ser>
        <c:dLbls>
          <c:showLegendKey val="0"/>
          <c:showVal val="0"/>
          <c:showCatName val="0"/>
          <c:showSerName val="0"/>
          <c:showPercent val="0"/>
          <c:showBubbleSize val="0"/>
          <c:showLeaderLines val="1"/>
        </c:dLbls>
        <c:firstSliceAng val="10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[sales.exl.xlsx]States!PivotTable3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Sales:Top</a:t>
            </a:r>
            <a:r>
              <a:rPr lang="en-US" baseline="0"/>
              <a:t> 5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States!$B$3</c:f>
              <c:strCache>
                <c:ptCount val="1"/>
                <c:pt idx="0">
                  <c:v>Total</c:v>
                </c:pt>
              </c:strCache>
            </c:strRef>
          </c:tx>
          <c:spPr>
            <a:solidFill>
              <a:schemeClr val="tx2"/>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States!$A$4:$A$8</c:f>
              <c:strCache>
                <c:ptCount val="5"/>
                <c:pt idx="0">
                  <c:v>bokaro</c:v>
                </c:pt>
                <c:pt idx="1">
                  <c:v>hazaribag</c:v>
                </c:pt>
                <c:pt idx="2">
                  <c:v>jamshedpur</c:v>
                </c:pt>
                <c:pt idx="3">
                  <c:v>patna</c:v>
                </c:pt>
                <c:pt idx="4">
                  <c:v>ranchi</c:v>
                </c:pt>
              </c:strCache>
            </c:strRef>
          </c:cat>
          <c:val>
            <c:numRef>
              <c:f>States!$B$4:$B$8</c:f>
              <c:numCache>
                <c:formatCode>General</c:formatCode>
                <c:ptCount val="5"/>
                <c:pt idx="0">
                  <c:v>2291</c:v>
                </c:pt>
                <c:pt idx="1">
                  <c:v>31302</c:v>
                </c:pt>
                <c:pt idx="2">
                  <c:v>3765</c:v>
                </c:pt>
                <c:pt idx="3">
                  <c:v>5582</c:v>
                </c:pt>
                <c:pt idx="4">
                  <c:v>18069</c:v>
                </c:pt>
              </c:numCache>
            </c:numRef>
          </c:val>
          <c:extLst>
            <c:ext xmlns:c16="http://schemas.microsoft.com/office/drawing/2014/chart" uri="{C3380CC4-5D6E-409C-BE32-E72D297353CC}">
              <c16:uniqueId val="{00000003-7114-4CEC-9DBA-9E433D7C1921}"/>
            </c:ext>
          </c:extLst>
        </c:ser>
        <c:dLbls>
          <c:dLblPos val="outEnd"/>
          <c:showLegendKey val="0"/>
          <c:showVal val="1"/>
          <c:showCatName val="0"/>
          <c:showSerName val="0"/>
          <c:showPercent val="0"/>
          <c:showBubbleSize val="0"/>
        </c:dLbls>
        <c:gapWidth val="182"/>
        <c:axId val="961507504"/>
        <c:axId val="961510864"/>
      </c:barChart>
      <c:catAx>
        <c:axId val="96150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10864"/>
        <c:crosses val="autoZero"/>
        <c:auto val="1"/>
        <c:lblAlgn val="ctr"/>
        <c:lblOffset val="100"/>
        <c:noMultiLvlLbl val="0"/>
      </c:catAx>
      <c:valAx>
        <c:axId val="961510864"/>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0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[sales.exl.xlsx]Age &amp; Gender!PivotTable4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Orders:Age</a:t>
            </a:r>
            <a:r>
              <a:rPr lang="en-IN" baseline="0"/>
              <a:t> Vs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&amp; Gender'!$B$3:$B$4</c:f>
              <c:strCache>
                <c:ptCount val="1"/>
                <c:pt idx="0">
                  <c:v>men</c:v>
                </c:pt>
              </c:strCache>
            </c:strRef>
          </c:tx>
          <c:spPr>
            <a:solidFill>
              <a:schemeClr val="accent1"/>
            </a:solidFill>
            <a:ln>
              <a:noFill/>
            </a:ln>
            <a:effectLst/>
          </c:spPr>
          <c:invertIfNegative val="0"/>
          <c:cat>
            <c:strRef>
              <c:f>'Age &amp; Gender'!$A$5:$A$7</c:f>
              <c:strCache>
                <c:ptCount val="3"/>
                <c:pt idx="0">
                  <c:v>adult</c:v>
                </c:pt>
                <c:pt idx="1">
                  <c:v>senior</c:v>
                </c:pt>
                <c:pt idx="2">
                  <c:v>Teenager</c:v>
                </c:pt>
              </c:strCache>
            </c:strRef>
          </c:cat>
          <c:val>
            <c:numRef>
              <c:f>'Age &amp; Gender'!$B$5:$B$7</c:f>
              <c:numCache>
                <c:formatCode>0.00%</c:formatCode>
                <c:ptCount val="3"/>
                <c:pt idx="0">
                  <c:v>0.1</c:v>
                </c:pt>
                <c:pt idx="1">
                  <c:v>0.05</c:v>
                </c:pt>
                <c:pt idx="2">
                  <c:v>0.25</c:v>
                </c:pt>
              </c:numCache>
            </c:numRef>
          </c:val>
          <c:extLst>
            <c:ext xmlns:c16="http://schemas.microsoft.com/office/drawing/2014/chart" uri="{C3380CC4-5D6E-409C-BE32-E72D297353CC}">
              <c16:uniqueId val="{00000005-5BB9-4164-9D39-B60B508DECF5}"/>
            </c:ext>
          </c:extLst>
        </c:ser>
        <c:ser>
          <c:idx val="1"/>
          <c:order val="1"/>
          <c:tx>
            <c:strRef>
              <c:f>'Age &amp; Gender'!$C$3:$C$4</c:f>
              <c:strCache>
                <c:ptCount val="1"/>
                <c:pt idx="0">
                  <c:v>women</c:v>
                </c:pt>
              </c:strCache>
            </c:strRef>
          </c:tx>
          <c:spPr>
            <a:solidFill>
              <a:schemeClr val="accent2"/>
            </a:solidFill>
            <a:ln>
              <a:noFill/>
            </a:ln>
            <a:effectLst/>
          </c:spPr>
          <c:invertIfNegative val="0"/>
          <c:cat>
            <c:strRef>
              <c:f>'Age &amp; Gender'!$A$5:$A$7</c:f>
              <c:strCache>
                <c:ptCount val="3"/>
                <c:pt idx="0">
                  <c:v>adult</c:v>
                </c:pt>
                <c:pt idx="1">
                  <c:v>senior</c:v>
                </c:pt>
                <c:pt idx="2">
                  <c:v>Teenager</c:v>
                </c:pt>
              </c:strCache>
            </c:strRef>
          </c:cat>
          <c:val>
            <c:numRef>
              <c:f>'Age &amp; Gender'!$C$5:$C$7</c:f>
              <c:numCache>
                <c:formatCode>0.00%</c:formatCode>
                <c:ptCount val="3"/>
                <c:pt idx="0">
                  <c:v>0.27500000000000002</c:v>
                </c:pt>
                <c:pt idx="1">
                  <c:v>2.5000000000000001E-2</c:v>
                </c:pt>
                <c:pt idx="2">
                  <c:v>0.3</c:v>
                </c:pt>
              </c:numCache>
            </c:numRef>
          </c:val>
          <c:extLst>
            <c:ext xmlns:c16="http://schemas.microsoft.com/office/drawing/2014/chart" uri="{C3380CC4-5D6E-409C-BE32-E72D297353CC}">
              <c16:uniqueId val="{00000000-D64A-4B6B-88CB-68F6BC1CDFC8}"/>
            </c:ext>
          </c:extLst>
        </c:ser>
        <c:dLbls>
          <c:showLegendKey val="0"/>
          <c:showVal val="0"/>
          <c:showCatName val="0"/>
          <c:showSerName val="0"/>
          <c:showPercent val="0"/>
          <c:showBubbleSize val="0"/>
        </c:dLbls>
        <c:gapWidth val="219"/>
        <c:overlap val="-27"/>
        <c:axId val="961846800"/>
        <c:axId val="961847760"/>
      </c:barChart>
      <c:catAx>
        <c:axId val="96184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847760"/>
        <c:crosses val="autoZero"/>
        <c:auto val="1"/>
        <c:lblAlgn val="ctr"/>
        <c:lblOffset val="100"/>
        <c:noMultiLvlLbl val="0"/>
      </c:catAx>
      <c:valAx>
        <c:axId val="96184776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846800"/>
        <c:crosses val="autoZero"/>
        <c:crossBetween val="between"/>
      </c:valAx>
      <c:spPr>
        <a:noFill/>
        <a:ln>
          <a:noFill/>
        </a:ln>
        <a:effectLst/>
      </c:spPr>
    </c:plotArea>
    <c:legend>
      <c:legendPos val="r"/>
      <c:layout>
        <c:manualLayout>
          <c:xMode val="edge"/>
          <c:yMode val="edge"/>
          <c:x val="0.80703718285214354"/>
          <c:y val="0.11168926800816567"/>
          <c:w val="0.1707405949256342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[sales.exl.xlsx]Channels!PivotTable5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Orders:Channels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Channels!$B$3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79-422A-B61B-CBF2E8F17F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79-422A-B61B-CBF2E8F17F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79-422A-B61B-CBF2E8F17F4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79-422A-B61B-CBF2E8F17F4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79-422A-B61B-CBF2E8F17F4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079-422A-B61B-CBF2E8F17F4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079-422A-B61B-CBF2E8F17F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Channels!$A$4:$A$10</c:f>
              <c:strCache>
                <c:ptCount val="7"/>
                <c:pt idx="0">
                  <c:v>ajio</c:v>
                </c:pt>
                <c:pt idx="1">
                  <c:v>amazon</c:v>
                </c:pt>
                <c:pt idx="2">
                  <c:v>flipkart</c:v>
                </c:pt>
                <c:pt idx="3">
                  <c:v>meesho</c:v>
                </c:pt>
                <c:pt idx="4">
                  <c:v>myntra</c:v>
                </c:pt>
                <c:pt idx="5">
                  <c:v>nalli</c:v>
                </c:pt>
                <c:pt idx="6">
                  <c:v>other</c:v>
                </c:pt>
              </c:strCache>
            </c:strRef>
          </c:cat>
          <c:val>
            <c:numRef>
              <c:f>Channels!$B$4:$B$10</c:f>
              <c:numCache>
                <c:formatCode>0.0%</c:formatCode>
                <c:ptCount val="7"/>
                <c:pt idx="0">
                  <c:v>0.05</c:v>
                </c:pt>
                <c:pt idx="1">
                  <c:v>0.42499999999999999</c:v>
                </c:pt>
                <c:pt idx="2">
                  <c:v>0.125</c:v>
                </c:pt>
                <c:pt idx="3">
                  <c:v>0.125</c:v>
                </c:pt>
                <c:pt idx="4">
                  <c:v>0.22500000000000001</c:v>
                </c:pt>
                <c:pt idx="5">
                  <c:v>2.5000000000000001E-2</c:v>
                </c:pt>
                <c:pt idx="6">
                  <c:v>2.5000000000000001E-2</c:v>
                </c:pt>
              </c:numCache>
            </c:numRef>
          </c:val>
          <c:extLst>
            <c:ext xmlns:c16="http://schemas.microsoft.com/office/drawing/2014/chart" uri="{C3380CC4-5D6E-409C-BE32-E72D297353CC}">
              <c16:uniqueId val="{00000003-B334-44B3-916E-95AFC792FE2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1541318</xdr:colOff>
      <xdr:row>1</xdr:row>
      <xdr:rowOff>68580</xdr:rowOff>
    </xdr:from>
    <xdr:to>
      <xdr:col>7</xdr:col>
      <xdr:colOff>556260</xdr:colOff>
      <xdr:row>13</xdr:row>
      <xdr:rowOff>129886</xdr:rowOff>
    </xdr:to>
    <xdr:graphicFrame macro="">
      <xdr:nvGraphicFramePr>
        <xdr:cNvPr id="2" name="Chart 1">
          <a:extLst>
            <a:ext uri="{FF2B5EF4-FFF2-40B4-BE49-F238E27FC236}">
              <a16:creationId xmlns:a16="http://schemas.microsoft.com/office/drawing/2014/main" id="{B79549E3-022E-4E56-8B6A-FDAD71933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17320</xdr:colOff>
      <xdr:row>1</xdr:row>
      <xdr:rowOff>76199</xdr:rowOff>
    </xdr:from>
    <xdr:to>
      <xdr:col>14</xdr:col>
      <xdr:colOff>22861</xdr:colOff>
      <xdr:row>13</xdr:row>
      <xdr:rowOff>121226</xdr:rowOff>
    </xdr:to>
    <xdr:graphicFrame macro="">
      <xdr:nvGraphicFramePr>
        <xdr:cNvPr id="3" name="Chart 2">
          <a:extLst>
            <a:ext uri="{FF2B5EF4-FFF2-40B4-BE49-F238E27FC236}">
              <a16:creationId xmlns:a16="http://schemas.microsoft.com/office/drawing/2014/main" id="{0E357525-2E75-4991-A36F-54F9F0278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95250</xdr:colOff>
      <xdr:row>1</xdr:row>
      <xdr:rowOff>95250</xdr:rowOff>
    </xdr:from>
    <xdr:to>
      <xdr:col>20</xdr:col>
      <xdr:colOff>60960</xdr:colOff>
      <xdr:row>13</xdr:row>
      <xdr:rowOff>112567</xdr:rowOff>
    </xdr:to>
    <xdr:graphicFrame macro="">
      <xdr:nvGraphicFramePr>
        <xdr:cNvPr id="4" name="Chart 3">
          <a:extLst>
            <a:ext uri="{FF2B5EF4-FFF2-40B4-BE49-F238E27FC236}">
              <a16:creationId xmlns:a16="http://schemas.microsoft.com/office/drawing/2014/main" id="{11DE5D13-2B68-4E1F-AF56-96BCFF280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1532659</xdr:colOff>
      <xdr:row>14</xdr:row>
      <xdr:rowOff>22860</xdr:rowOff>
    </xdr:from>
    <xdr:to>
      <xdr:col>7</xdr:col>
      <xdr:colOff>450273</xdr:colOff>
      <xdr:row>28</xdr:row>
      <xdr:rowOff>155864</xdr:rowOff>
    </xdr:to>
    <xdr:graphicFrame macro="">
      <xdr:nvGraphicFramePr>
        <xdr:cNvPr id="5" name="Chart 4">
          <a:extLst>
            <a:ext uri="{FF2B5EF4-FFF2-40B4-BE49-F238E27FC236}">
              <a16:creationId xmlns:a16="http://schemas.microsoft.com/office/drawing/2014/main" id="{2CFFB8B5-A869-4911-BE8E-AEF01C339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502920</xdr:colOff>
      <xdr:row>14</xdr:row>
      <xdr:rowOff>43295</xdr:rowOff>
    </xdr:from>
    <xdr:to>
      <xdr:col>14</xdr:col>
      <xdr:colOff>281940</xdr:colOff>
      <xdr:row>28</xdr:row>
      <xdr:rowOff>147204</xdr:rowOff>
    </xdr:to>
    <xdr:graphicFrame macro="">
      <xdr:nvGraphicFramePr>
        <xdr:cNvPr id="6" name="Chart 5">
          <a:extLst>
            <a:ext uri="{FF2B5EF4-FFF2-40B4-BE49-F238E27FC236}">
              <a16:creationId xmlns:a16="http://schemas.microsoft.com/office/drawing/2014/main" id="{5B4E8190-6DE5-417D-869C-EF3B13A37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355021</xdr:colOff>
      <xdr:row>14</xdr:row>
      <xdr:rowOff>47797</xdr:rowOff>
    </xdr:from>
    <xdr:to>
      <xdr:col>20</xdr:col>
      <xdr:colOff>60612</xdr:colOff>
      <xdr:row>28</xdr:row>
      <xdr:rowOff>138544</xdr:rowOff>
    </xdr:to>
    <xdr:graphicFrame macro="">
      <xdr:nvGraphicFramePr>
        <xdr:cNvPr id="7" name="Chart 6">
          <a:extLst>
            <a:ext uri="{FF2B5EF4-FFF2-40B4-BE49-F238E27FC236}">
              <a16:creationId xmlns:a16="http://schemas.microsoft.com/office/drawing/2014/main" id="{61F09418-E2E2-436B-AB85-986C1C55B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60960</xdr:colOff>
      <xdr:row>1</xdr:row>
      <xdr:rowOff>22861</xdr:rowOff>
    </xdr:from>
    <xdr:to>
      <xdr:col>0</xdr:col>
      <xdr:colOff>1428750</xdr:colOff>
      <xdr:row>6</xdr:row>
      <xdr:rowOff>15240</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BBB4FC4F-6E5D-9B2A-98B5-D0237E61FFB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0960" y="297181"/>
              <a:ext cx="1264920" cy="90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6</xdr:row>
      <xdr:rowOff>45721</xdr:rowOff>
    </xdr:from>
    <xdr:to>
      <xdr:col>0</xdr:col>
      <xdr:colOff>1424940</xdr:colOff>
      <xdr:row>19</xdr:row>
      <xdr:rowOff>129886</xdr:rowOff>
    </xdr:to>
    <mc:AlternateContent xmlns:mc="http://schemas.openxmlformats.org/markup-compatibility/2006" xmlns:a14="http://schemas.microsoft.com/office/drawing/2010/main">
      <mc:Choice Requires="a14">
        <xdr:graphicFrame macro="">
          <xdr:nvGraphicFramePr>
            <xdr:cNvPr id="9" name="Channel">
              <a:extLst>
                <a:ext uri="{FF2B5EF4-FFF2-40B4-BE49-F238E27FC236}">
                  <a16:creationId xmlns:a16="http://schemas.microsoft.com/office/drawing/2014/main" id="{B5C7953E-8737-A78B-6755-E7AF1ADBE233}"/>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53340" y="1234441"/>
              <a:ext cx="1371600" cy="2194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68579</xdr:colOff>
      <xdr:row>19</xdr:row>
      <xdr:rowOff>188769</xdr:rowOff>
    </xdr:from>
    <xdr:to>
      <xdr:col>0</xdr:col>
      <xdr:colOff>1420090</xdr:colOff>
      <xdr:row>28</xdr:row>
      <xdr:rowOff>155864</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8CF5085E-D00E-C4ED-A367-9E70D46A8D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8579" y="3894860"/>
              <a:ext cx="1351511" cy="1681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91440</xdr:colOff>
      <xdr:row>5</xdr:row>
      <xdr:rowOff>160020</xdr:rowOff>
    </xdr:from>
    <xdr:to>
      <xdr:col>10</xdr:col>
      <xdr:colOff>213360</xdr:colOff>
      <xdr:row>21</xdr:row>
      <xdr:rowOff>91440</xdr:rowOff>
    </xdr:to>
    <xdr:graphicFrame macro="">
      <xdr:nvGraphicFramePr>
        <xdr:cNvPr id="2" name="Chart 1">
          <a:extLst>
            <a:ext uri="{FF2B5EF4-FFF2-40B4-BE49-F238E27FC236}">
              <a16:creationId xmlns:a16="http://schemas.microsoft.com/office/drawing/2014/main" id="{BEF60AF5-7EDB-BFCD-D62A-F9E92D674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502920</xdr:colOff>
      <xdr:row>6</xdr:row>
      <xdr:rowOff>152400</xdr:rowOff>
    </xdr:from>
    <xdr:to>
      <xdr:col>9</xdr:col>
      <xdr:colOff>556260</xdr:colOff>
      <xdr:row>21</xdr:row>
      <xdr:rowOff>45720</xdr:rowOff>
    </xdr:to>
    <xdr:graphicFrame macro="">
      <xdr:nvGraphicFramePr>
        <xdr:cNvPr id="2" name="Chart 1">
          <a:extLst>
            <a:ext uri="{FF2B5EF4-FFF2-40B4-BE49-F238E27FC236}">
              <a16:creationId xmlns:a16="http://schemas.microsoft.com/office/drawing/2014/main" id="{7C1DF322-EB87-B987-E063-F40A8029D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313267</xdr:colOff>
      <xdr:row>7</xdr:row>
      <xdr:rowOff>122766</xdr:rowOff>
    </xdr:from>
    <xdr:to>
      <xdr:col>11</xdr:col>
      <xdr:colOff>33867</xdr:colOff>
      <xdr:row>22</xdr:row>
      <xdr:rowOff>71966</xdr:rowOff>
    </xdr:to>
    <xdr:graphicFrame macro="">
      <xdr:nvGraphicFramePr>
        <xdr:cNvPr id="2" name="Chart 1">
          <a:extLst>
            <a:ext uri="{FF2B5EF4-FFF2-40B4-BE49-F238E27FC236}">
              <a16:creationId xmlns:a16="http://schemas.microsoft.com/office/drawing/2014/main" id="{F7F02A62-03B0-2E0B-D603-8ABC22445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60960</xdr:colOff>
      <xdr:row>6</xdr:row>
      <xdr:rowOff>45720</xdr:rowOff>
    </xdr:from>
    <xdr:to>
      <xdr:col>11</xdr:col>
      <xdr:colOff>365760</xdr:colOff>
      <xdr:row>21</xdr:row>
      <xdr:rowOff>45720</xdr:rowOff>
    </xdr:to>
    <xdr:graphicFrame macro="">
      <xdr:nvGraphicFramePr>
        <xdr:cNvPr id="2" name="Chart 1">
          <a:extLst>
            <a:ext uri="{FF2B5EF4-FFF2-40B4-BE49-F238E27FC236}">
              <a16:creationId xmlns:a16="http://schemas.microsoft.com/office/drawing/2014/main" id="{B72415AC-0D92-E54F-940C-BF2D7A3421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472440</xdr:colOff>
      <xdr:row>6</xdr:row>
      <xdr:rowOff>45720</xdr:rowOff>
    </xdr:from>
    <xdr:to>
      <xdr:col>11</xdr:col>
      <xdr:colOff>38100</xdr:colOff>
      <xdr:row>21</xdr:row>
      <xdr:rowOff>45720</xdr:rowOff>
    </xdr:to>
    <xdr:graphicFrame macro="">
      <xdr:nvGraphicFramePr>
        <xdr:cNvPr id="2" name="Chart 1">
          <a:extLst>
            <a:ext uri="{FF2B5EF4-FFF2-40B4-BE49-F238E27FC236}">
              <a16:creationId xmlns:a16="http://schemas.microsoft.com/office/drawing/2014/main" id="{789393CD-C2FB-6954-B0D5-5454A2103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571500</xdr:colOff>
      <xdr:row>6</xdr:row>
      <xdr:rowOff>45720</xdr:rowOff>
    </xdr:from>
    <xdr:to>
      <xdr:col>11</xdr:col>
      <xdr:colOff>266700</xdr:colOff>
      <xdr:row>21</xdr:row>
      <xdr:rowOff>45720</xdr:rowOff>
    </xdr:to>
    <xdr:graphicFrame macro="">
      <xdr:nvGraphicFramePr>
        <xdr:cNvPr id="2" name="Chart 1">
          <a:extLst>
            <a:ext uri="{FF2B5EF4-FFF2-40B4-BE49-F238E27FC236}">
              <a16:creationId xmlns:a16="http://schemas.microsoft.com/office/drawing/2014/main" id="{97B4D85C-D831-582E-58AA-B55F24169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chan rana" refreshedDate="45566.849243518518" createdVersion="8" refreshedVersion="8" minRefreshableVersion="3" recordCount="40" xr:uid="{D184D293-2FD7-4B87-8A1A-32FEEBEE6F2A}">
  <cacheSource type="worksheet">
    <worksheetSource ref="A1:T41" sheet="Virnda store"/>
  </cacheSource>
  <cacheFields count="20">
    <cacheField name="Index" numFmtId="0">
      <sharedItems containsSemiMixedTypes="0" containsString="0" containsNumber="1" containsInteger="1" minValue="1" maxValue="40"/>
    </cacheField>
    <cacheField name="Order ID" numFmtId="0">
      <sharedItems/>
    </cacheField>
    <cacheField name="Cust ID" numFmtId="0">
      <sharedItems containsSemiMixedTypes="0" containsString="0" containsNumber="1" containsInteger="1" minValue="1029312" maxValue="9868755"/>
    </cacheField>
    <cacheField name="Gender" numFmtId="0">
      <sharedItems count="2">
        <s v="women"/>
        <s v="men"/>
      </sharedItems>
    </cacheField>
    <cacheField name="Age" numFmtId="0">
      <sharedItems containsSemiMixedTypes="0" containsString="0" containsNumber="1" containsInteger="1" minValue="19" maxValue="63"/>
    </cacheField>
    <cacheField name="Age group" numFmtId="0">
      <sharedItems count="3">
        <s v="adult"/>
        <s v="Teenager"/>
        <s v="senior"/>
      </sharedItems>
    </cacheField>
    <cacheField name="Date" numFmtId="14">
      <sharedItems containsSemiMixedTypes="0" containsNonDate="0" containsDate="1" containsString="0" minDate="2024-11-02T00:00:00" maxDate="2025-01-01T00:00:00"/>
    </cacheField>
    <cacheField name="Month" numFmtId="14">
      <sharedItems containsNonDate="0" count="2">
        <s v="Dec"/>
        <s v="Nov"/>
      </sharedItems>
    </cacheField>
    <cacheField name="Status" numFmtId="0">
      <sharedItems count="2">
        <s v="delivered"/>
        <s v="refunded"/>
      </sharedItems>
    </cacheField>
    <cacheField name="Channel" numFmtId="0">
      <sharedItems count="7">
        <s v="myntra"/>
        <s v="ajio"/>
        <s v="amazon"/>
        <s v="flipkart"/>
        <s v="meesho"/>
        <s v="other"/>
        <s v="nalli"/>
      </sharedItems>
    </cacheField>
    <cacheField name="SKU" numFmtId="0">
      <sharedItems/>
    </cacheField>
    <cacheField name="Category" numFmtId="0">
      <sharedItems count="4">
        <s v="kurta"/>
        <s v="set"/>
        <s v="westurn dress"/>
        <s v="top"/>
      </sharedItems>
    </cacheField>
    <cacheField name="Size" numFmtId="0">
      <sharedItems/>
    </cacheField>
    <cacheField name="Qty" numFmtId="0">
      <sharedItems containsSemiMixedTypes="0" containsString="0" containsNumber="1" containsInteger="1" minValue="1" maxValue="1"/>
    </cacheField>
    <cacheField name="Currency" numFmtId="0">
      <sharedItems/>
    </cacheField>
    <cacheField name="Amount" numFmtId="0">
      <sharedItems containsSemiMixedTypes="0" containsString="0" containsNumber="1" containsInteger="1" minValue="174" maxValue="6476"/>
    </cacheField>
    <cacheField name="Ship-City" numFmtId="0">
      <sharedItems count="9">
        <s v="ranchi"/>
        <s v="jamshedpur"/>
        <s v="delhi"/>
        <s v="bokaro"/>
        <s v="dhanbad"/>
        <s v="patna"/>
        <s v="hazaribag"/>
        <s v="laatehar"/>
        <s v="giridhi"/>
      </sharedItems>
    </cacheField>
    <cacheField name="Ship-postal-code" numFmtId="0">
      <sharedItems containsSemiMixedTypes="0" containsString="0" containsNumber="1" containsInteger="1" minValue="140301" maxValue="573630"/>
    </cacheField>
    <cacheField name="Ship-counter" numFmtId="0">
      <sharedItems/>
    </cacheField>
    <cacheField name="B2B" numFmtId="0">
      <sharedItems/>
    </cacheField>
  </cacheFields>
  <extLst>
    <ext xmlns:x14="http://schemas.microsoft.com/office/spreadsheetml/2009/9/main" uri="{725AE2AE-9491-48be-B2B4-4EB974FC3084}">
      <x14:pivotCacheDefinition pivotCacheId="2981923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
    <s v="171-1029312-3038738"/>
    <n v="1029312"/>
    <x v="0"/>
    <n v="44"/>
    <x v="0"/>
    <d v="2024-12-04T00:00:00"/>
    <x v="0"/>
    <x v="0"/>
    <x v="0"/>
    <s v="JNE1233-BLUE-KR-031-XXL"/>
    <x v="0"/>
    <s v="XXL"/>
    <n v="1"/>
    <s v="INR"/>
    <n v="347"/>
    <x v="0"/>
    <n v="140301"/>
    <s v="IN"/>
    <b v="0"/>
  </r>
  <r>
    <n v="2"/>
    <s v="405-2187364-3746378"/>
    <n v="2186438"/>
    <x v="0"/>
    <n v="32"/>
    <x v="0"/>
    <d v="2024-11-02T00:00:00"/>
    <x v="1"/>
    <x v="0"/>
    <x v="1"/>
    <s v="SET414-KR-NP-L"/>
    <x v="1"/>
    <s v="L"/>
    <n v="1"/>
    <s v="INR"/>
    <n v="657"/>
    <x v="0"/>
    <n v="151412"/>
    <s v="IN"/>
    <b v="0"/>
  </r>
  <r>
    <n v="3"/>
    <s v="273-6789347-2638378"/>
    <n v="3648682"/>
    <x v="0"/>
    <n v="34"/>
    <x v="0"/>
    <d v="2024-12-01T00:00:00"/>
    <x v="0"/>
    <x v="0"/>
    <x v="2"/>
    <s v="SET414-KR-PP-S"/>
    <x v="1"/>
    <s v="S"/>
    <n v="1"/>
    <s v="INR"/>
    <n v="3765"/>
    <x v="1"/>
    <n v="162523"/>
    <s v="IN"/>
    <b v="0"/>
  </r>
  <r>
    <n v="4"/>
    <s v="245-3546522-3673552"/>
    <n v="2774974"/>
    <x v="0"/>
    <n v="19"/>
    <x v="1"/>
    <d v="2024-12-05T00:00:00"/>
    <x v="0"/>
    <x v="0"/>
    <x v="3"/>
    <s v="SET414-KR-PP-S"/>
    <x v="1"/>
    <s v="S"/>
    <n v="1"/>
    <s v="INR"/>
    <n v="756"/>
    <x v="2"/>
    <n v="173634"/>
    <s v="IN"/>
    <b v="0"/>
  </r>
  <r>
    <n v="5"/>
    <s v="255-3556522-3673552"/>
    <n v="4548567"/>
    <x v="0"/>
    <n v="23"/>
    <x v="1"/>
    <d v="2024-12-07T00:00:00"/>
    <x v="0"/>
    <x v="0"/>
    <x v="4"/>
    <s v="JNE1233-BLUE-KR-031-XXL"/>
    <x v="0"/>
    <s v="XXL"/>
    <n v="1"/>
    <s v="INR"/>
    <n v="576"/>
    <x v="3"/>
    <n v="184745"/>
    <s v="IN"/>
    <b v="0"/>
  </r>
  <r>
    <n v="6"/>
    <s v="465-3554733-4676837"/>
    <n v="7574975"/>
    <x v="0"/>
    <n v="56"/>
    <x v="2"/>
    <d v="2024-11-08T00:00:00"/>
    <x v="1"/>
    <x v="0"/>
    <x v="5"/>
    <s v="JNE1233-BLUE-KR-031-XXL"/>
    <x v="2"/>
    <s v="XXL"/>
    <n v="1"/>
    <s v="INR"/>
    <n v="374"/>
    <x v="4"/>
    <n v="195856"/>
    <s v="IN"/>
    <b v="0"/>
  </r>
  <r>
    <n v="7"/>
    <s v="354-7567354-4637457"/>
    <n v="3758793"/>
    <x v="0"/>
    <n v="34"/>
    <x v="0"/>
    <d v="2024-12-09T00:00:00"/>
    <x v="0"/>
    <x v="0"/>
    <x v="6"/>
    <s v="JNE1233-BLUE-KR-031-XXL"/>
    <x v="0"/>
    <s v="XXL"/>
    <n v="1"/>
    <s v="INR"/>
    <n v="576"/>
    <x v="5"/>
    <n v="206967"/>
    <s v="IN"/>
    <b v="0"/>
  </r>
  <r>
    <n v="8"/>
    <s v="243-5365233-4562535"/>
    <n v="4685636"/>
    <x v="0"/>
    <n v="23"/>
    <x v="1"/>
    <d v="2024-12-10T00:00:00"/>
    <x v="0"/>
    <x v="0"/>
    <x v="2"/>
    <s v="SET110-KR-PP-M"/>
    <x v="0"/>
    <s v="M"/>
    <n v="1"/>
    <s v="INR"/>
    <n v="875"/>
    <x v="6"/>
    <n v="218078"/>
    <s v="IN"/>
    <b v="0"/>
  </r>
  <r>
    <n v="9"/>
    <s v="456-6747332-4674673"/>
    <n v="4663646"/>
    <x v="1"/>
    <n v="63"/>
    <x v="2"/>
    <d v="2024-12-11T00:00:00"/>
    <x v="0"/>
    <x v="0"/>
    <x v="2"/>
    <s v="JNE3801-KR-E-XL"/>
    <x v="0"/>
    <s v="XL"/>
    <n v="1"/>
    <s v="INR"/>
    <n v="5875"/>
    <x v="6"/>
    <n v="229189"/>
    <s v="IN"/>
    <b v="0"/>
  </r>
  <r>
    <n v="10"/>
    <s v="464-3546537-4637523"/>
    <n v="4678438"/>
    <x v="0"/>
    <n v="26"/>
    <x v="1"/>
    <d v="2024-11-12T00:00:00"/>
    <x v="1"/>
    <x v="0"/>
    <x v="2"/>
    <s v="SET414-KR-NP-L"/>
    <x v="0"/>
    <s v="L"/>
    <n v="1"/>
    <s v="INR"/>
    <n v="1937"/>
    <x v="6"/>
    <n v="240300"/>
    <s v="IN"/>
    <b v="0"/>
  </r>
  <r>
    <n v="11"/>
    <s v="544-3654765-4676463"/>
    <n v="4887494"/>
    <x v="0"/>
    <n v="22"/>
    <x v="1"/>
    <d v="2024-12-13T00:00:00"/>
    <x v="0"/>
    <x v="0"/>
    <x v="2"/>
    <s v="SET414-KR-PP-S"/>
    <x v="0"/>
    <s v="S"/>
    <n v="1"/>
    <s v="INR"/>
    <n v="1234"/>
    <x v="0"/>
    <n v="251411"/>
    <s v="IN"/>
    <b v="0"/>
  </r>
  <r>
    <n v="12"/>
    <s v="347-4673527-4673738"/>
    <n v="9868755"/>
    <x v="0"/>
    <n v="21"/>
    <x v="1"/>
    <d v="2024-12-14T00:00:00"/>
    <x v="0"/>
    <x v="0"/>
    <x v="2"/>
    <s v="SET110-KR-PP-M"/>
    <x v="3"/>
    <s v="M"/>
    <n v="1"/>
    <s v="INR"/>
    <n v="5647"/>
    <x v="0"/>
    <n v="262522"/>
    <s v="IN"/>
    <b v="0"/>
  </r>
  <r>
    <n v="13"/>
    <s v="464-7656674-4676578"/>
    <n v="8768574"/>
    <x v="1"/>
    <n v="20"/>
    <x v="1"/>
    <d v="2024-12-15T00:00:00"/>
    <x v="0"/>
    <x v="0"/>
    <x v="2"/>
    <s v="JNE3801-KR-E-XL"/>
    <x v="1"/>
    <s v="XL"/>
    <n v="1"/>
    <s v="INR"/>
    <n v="476"/>
    <x v="5"/>
    <n v="273633"/>
    <s v="IN"/>
    <b v="0"/>
  </r>
  <r>
    <n v="14"/>
    <s v="464-4637568-6764864"/>
    <n v="4759874"/>
    <x v="1"/>
    <n v="24"/>
    <x v="1"/>
    <d v="2024-11-16T00:00:00"/>
    <x v="1"/>
    <x v="0"/>
    <x v="2"/>
    <s v="SET110-KR-PP-M"/>
    <x v="1"/>
    <s v="M"/>
    <n v="1"/>
    <s v="INR"/>
    <n v="376"/>
    <x v="7"/>
    <n v="284744"/>
    <s v="IN"/>
    <b v="0"/>
  </r>
  <r>
    <n v="15"/>
    <s v="465-3752563-4737645"/>
    <n v="4758493"/>
    <x v="1"/>
    <n v="25"/>
    <x v="1"/>
    <d v="2024-12-17T00:00:00"/>
    <x v="0"/>
    <x v="0"/>
    <x v="0"/>
    <s v="SET110-KR-PP-M"/>
    <x v="1"/>
    <s v="M"/>
    <n v="1"/>
    <s v="INR"/>
    <n v="476"/>
    <x v="8"/>
    <n v="295855"/>
    <s v="IN"/>
    <b v="0"/>
  </r>
  <r>
    <n v="16"/>
    <s v="657-5635467-4675734"/>
    <n v="4757895"/>
    <x v="1"/>
    <n v="26"/>
    <x v="1"/>
    <d v="2024-12-18T00:00:00"/>
    <x v="0"/>
    <x v="0"/>
    <x v="0"/>
    <s v="SET414-KR-NP-L"/>
    <x v="3"/>
    <s v="L"/>
    <n v="1"/>
    <s v="INR"/>
    <n v="242"/>
    <x v="8"/>
    <n v="306966"/>
    <s v="IN"/>
    <b v="0"/>
  </r>
  <r>
    <n v="17"/>
    <s v="467-4556543-3675354"/>
    <n v="8797677"/>
    <x v="1"/>
    <n v="27"/>
    <x v="1"/>
    <d v="2024-11-19T00:00:00"/>
    <x v="1"/>
    <x v="0"/>
    <x v="0"/>
    <s v="JNE3801-KR-E-XL"/>
    <x v="1"/>
    <s v="XL"/>
    <n v="1"/>
    <s v="INR"/>
    <n v="465"/>
    <x v="6"/>
    <n v="318077"/>
    <s v="IN"/>
    <b v="0"/>
  </r>
  <r>
    <n v="18"/>
    <s v="464-5876567-4675474"/>
    <n v="6487875"/>
    <x v="0"/>
    <n v="28"/>
    <x v="1"/>
    <d v="2024-12-20T00:00:00"/>
    <x v="0"/>
    <x v="0"/>
    <x v="0"/>
    <s v="SET184-KR-PP-XS"/>
    <x v="1"/>
    <s v="XS"/>
    <n v="1"/>
    <s v="INR"/>
    <n v="5726"/>
    <x v="6"/>
    <n v="329188"/>
    <s v="IN"/>
    <b v="0"/>
  </r>
  <r>
    <n v="19"/>
    <s v="564-6118888-7687273"/>
    <n v="6864765"/>
    <x v="1"/>
    <n v="33"/>
    <x v="0"/>
    <d v="2024-11-21T00:00:00"/>
    <x v="1"/>
    <x v="1"/>
    <x v="3"/>
    <s v="JNE1233-BLUE-KR-031-XXL"/>
    <x v="2"/>
    <s v="XXL"/>
    <n v="1"/>
    <s v="INR"/>
    <n v="367"/>
    <x v="0"/>
    <n v="340299"/>
    <s v="IN"/>
    <b v="1"/>
  </r>
  <r>
    <n v="20"/>
    <s v="236-3565426-2575375"/>
    <n v="4676836"/>
    <x v="1"/>
    <n v="55"/>
    <x v="2"/>
    <d v="2024-12-22T00:00:00"/>
    <x v="0"/>
    <x v="0"/>
    <x v="4"/>
    <s v="SET110-KR-PP-M"/>
    <x v="1"/>
    <s v="M"/>
    <n v="1"/>
    <s v="INR"/>
    <n v="987"/>
    <x v="6"/>
    <n v="351410"/>
    <s v="IN"/>
    <b v="1"/>
  </r>
  <r>
    <n v="21"/>
    <s v="354-3565256-5456625"/>
    <n v="6867368"/>
    <x v="1"/>
    <n v="35"/>
    <x v="0"/>
    <d v="2024-12-23T00:00:00"/>
    <x v="0"/>
    <x v="0"/>
    <x v="3"/>
    <s v="JO231-5KD-XXL"/>
    <x v="1"/>
    <s v="3XL"/>
    <n v="1"/>
    <s v="INR"/>
    <n v="648"/>
    <x v="6"/>
    <n v="362521"/>
    <s v="IN"/>
    <b v="1"/>
  </r>
  <r>
    <n v="22"/>
    <s v="254-3676464-4452864"/>
    <n v="4676583"/>
    <x v="0"/>
    <n v="35"/>
    <x v="0"/>
    <d v="2024-11-24T00:00:00"/>
    <x v="1"/>
    <x v="0"/>
    <x v="0"/>
    <s v="SET414-KR-PP-S"/>
    <x v="2"/>
    <s v="S"/>
    <n v="1"/>
    <s v="INR"/>
    <n v="2534"/>
    <x v="0"/>
    <n v="373632"/>
    <s v="IN"/>
    <b v="1"/>
  </r>
  <r>
    <n v="23"/>
    <s v="222-4454555-4537635"/>
    <n v="4678842"/>
    <x v="1"/>
    <n v="23"/>
    <x v="1"/>
    <d v="2024-12-25T00:00:00"/>
    <x v="0"/>
    <x v="0"/>
    <x v="2"/>
    <s v="SET110-KR-PP-M"/>
    <x v="1"/>
    <s v="M"/>
    <n v="1"/>
    <s v="INR"/>
    <n v="563"/>
    <x v="3"/>
    <n v="384743"/>
    <s v="IN"/>
    <b v="1"/>
  </r>
  <r>
    <n v="24"/>
    <s v="374-2656762-3567428"/>
    <n v="8778564"/>
    <x v="0"/>
    <n v="40"/>
    <x v="0"/>
    <d v="2024-12-26T00:00:00"/>
    <x v="0"/>
    <x v="0"/>
    <x v="2"/>
    <s v="SET414-KR-NP-L"/>
    <x v="2"/>
    <s v="L"/>
    <n v="1"/>
    <s v="INR"/>
    <n v="3256"/>
    <x v="5"/>
    <n v="395854"/>
    <s v="IN"/>
    <b v="1"/>
  </r>
  <r>
    <n v="25"/>
    <s v="254-2564864-3653875"/>
    <n v="7876644"/>
    <x v="1"/>
    <n v="29"/>
    <x v="1"/>
    <d v="2024-11-27T00:00:00"/>
    <x v="1"/>
    <x v="0"/>
    <x v="2"/>
    <s v="SET414-KR-NP-L"/>
    <x v="0"/>
    <s v="L"/>
    <n v="1"/>
    <s v="INR"/>
    <n v="365"/>
    <x v="6"/>
    <n v="406965"/>
    <s v="IN"/>
    <b v="1"/>
  </r>
  <r>
    <n v="26"/>
    <s v="235-3657657-3658738"/>
    <n v="5887499"/>
    <x v="0"/>
    <n v="33"/>
    <x v="0"/>
    <d v="2024-12-28T00:00:00"/>
    <x v="0"/>
    <x v="0"/>
    <x v="4"/>
    <s v="SET414-KR-PP-S"/>
    <x v="2"/>
    <s v="S"/>
    <n v="1"/>
    <s v="INR"/>
    <n v="5768"/>
    <x v="0"/>
    <n v="418076"/>
    <s v="IN"/>
    <b v="0"/>
  </r>
  <r>
    <n v="27"/>
    <s v="365-253454-24254444"/>
    <n v="5688765"/>
    <x v="1"/>
    <n v="23"/>
    <x v="1"/>
    <d v="2024-12-29T00:00:00"/>
    <x v="0"/>
    <x v="0"/>
    <x v="3"/>
    <s v="SET110-KR-PP-M"/>
    <x v="1"/>
    <s v="M"/>
    <n v="1"/>
    <s v="INR"/>
    <n v="458"/>
    <x v="6"/>
    <n v="429187"/>
    <s v="IN"/>
    <b v="1"/>
  </r>
  <r>
    <n v="28"/>
    <s v="231-334353-24555667"/>
    <n v="5687648"/>
    <x v="0"/>
    <n v="45"/>
    <x v="0"/>
    <d v="2024-11-30T00:00:00"/>
    <x v="1"/>
    <x v="0"/>
    <x v="0"/>
    <s v="JNE3801-KR-E-XL"/>
    <x v="1"/>
    <s v="XL"/>
    <n v="1"/>
    <s v="INR"/>
    <n v="6476"/>
    <x v="6"/>
    <n v="440298"/>
    <s v="IN"/>
    <b v="1"/>
  </r>
  <r>
    <n v="29"/>
    <s v="234-455667-33445566"/>
    <n v="5768496"/>
    <x v="1"/>
    <n v="46"/>
    <x v="0"/>
    <d v="2024-12-31T00:00:00"/>
    <x v="0"/>
    <x v="0"/>
    <x v="2"/>
    <s v="SET184-KR-PP-XS"/>
    <x v="1"/>
    <s v="XS"/>
    <n v="1"/>
    <s v="INR"/>
    <n v="465"/>
    <x v="0"/>
    <n v="451409"/>
    <s v="IN"/>
    <b v="1"/>
  </r>
  <r>
    <n v="30"/>
    <s v="356-476756-67867579"/>
    <n v="6787695"/>
    <x v="0"/>
    <n v="26"/>
    <x v="1"/>
    <d v="2024-12-01T00:00:00"/>
    <x v="0"/>
    <x v="0"/>
    <x v="2"/>
    <s v="JNE1233-BLUE-KR-031-XXL"/>
    <x v="2"/>
    <s v="XXL"/>
    <n v="1"/>
    <s v="INR"/>
    <n v="476"/>
    <x v="3"/>
    <n v="462520"/>
    <s v="IN"/>
    <b v="1"/>
  </r>
  <r>
    <n v="31"/>
    <s v="465-264676-36768764"/>
    <n v="7587695"/>
    <x v="0"/>
    <n v="27"/>
    <x v="1"/>
    <d v="2024-11-02T00:00:00"/>
    <x v="1"/>
    <x v="0"/>
    <x v="2"/>
    <s v="SET110-KR-PP-M"/>
    <x v="1"/>
    <s v="M"/>
    <n v="1"/>
    <s v="INR"/>
    <n v="687"/>
    <x v="5"/>
    <n v="473631"/>
    <s v="IN"/>
    <b v="0"/>
  </r>
  <r>
    <n v="32"/>
    <s v="254-862675-37437276"/>
    <n v="8757659"/>
    <x v="0"/>
    <n v="28"/>
    <x v="1"/>
    <d v="2024-12-03T00:00:00"/>
    <x v="0"/>
    <x v="1"/>
    <x v="4"/>
    <s v="SET110-KR-PP-M"/>
    <x v="1"/>
    <s v="M"/>
    <n v="1"/>
    <s v="INR"/>
    <n v="5786"/>
    <x v="6"/>
    <n v="484742"/>
    <s v="IN"/>
    <b v="0"/>
  </r>
  <r>
    <n v="33"/>
    <s v="254-565748-36573658"/>
    <n v="6798754"/>
    <x v="1"/>
    <n v="29"/>
    <x v="1"/>
    <d v="2024-12-04T00:00:00"/>
    <x v="0"/>
    <x v="0"/>
    <x v="3"/>
    <s v="SET414-KR-NP-L"/>
    <x v="2"/>
    <s v="L"/>
    <n v="1"/>
    <s v="INR"/>
    <n v="578"/>
    <x v="6"/>
    <n v="495853"/>
    <s v="IN"/>
    <b v="0"/>
  </r>
  <r>
    <n v="34"/>
    <s v="254-565847-76764673"/>
    <n v="5876975"/>
    <x v="0"/>
    <n v="30"/>
    <x v="0"/>
    <d v="2024-11-05T00:00:00"/>
    <x v="1"/>
    <x v="0"/>
    <x v="0"/>
    <s v="SET414-KR-NP-L"/>
    <x v="0"/>
    <s v="L"/>
    <n v="1"/>
    <s v="INR"/>
    <n v="583"/>
    <x v="0"/>
    <n v="506964"/>
    <s v="IN"/>
    <b v="0"/>
  </r>
  <r>
    <n v="35"/>
    <s v="587-367657-56748656"/>
    <n v="7646865"/>
    <x v="0"/>
    <n v="31"/>
    <x v="0"/>
    <d v="2024-12-06T00:00:00"/>
    <x v="0"/>
    <x v="0"/>
    <x v="2"/>
    <s v="SET414-KR-PP-S"/>
    <x v="2"/>
    <s v="S"/>
    <n v="1"/>
    <s v="INR"/>
    <n v="676"/>
    <x v="3"/>
    <n v="518075"/>
    <s v="IN"/>
    <b v="0"/>
  </r>
  <r>
    <n v="36"/>
    <s v="675-567476-56874675"/>
    <n v="6786665"/>
    <x v="0"/>
    <n v="32"/>
    <x v="0"/>
    <d v="2024-12-07T00:00:00"/>
    <x v="0"/>
    <x v="1"/>
    <x v="2"/>
    <s v="SET110-KR-PP-M"/>
    <x v="1"/>
    <s v="M"/>
    <n v="1"/>
    <s v="INR"/>
    <n v="587"/>
    <x v="5"/>
    <n v="529186"/>
    <s v="IN"/>
    <b v="0"/>
  </r>
  <r>
    <n v="37"/>
    <s v="555-757868-37656765"/>
    <n v="6789767"/>
    <x v="1"/>
    <n v="32"/>
    <x v="0"/>
    <d v="2024-11-08T00:00:00"/>
    <x v="1"/>
    <x v="0"/>
    <x v="4"/>
    <s v="JNE3801-KR-E-XL"/>
    <x v="1"/>
    <s v="XL"/>
    <n v="1"/>
    <s v="INR"/>
    <n v="174"/>
    <x v="6"/>
    <n v="540297"/>
    <s v="IN"/>
    <b v="0"/>
  </r>
  <r>
    <n v="38"/>
    <s v="362-476567-26757665"/>
    <n v="2182973"/>
    <x v="0"/>
    <n v="26"/>
    <x v="1"/>
    <d v="2024-12-09T00:00:00"/>
    <x v="0"/>
    <x v="0"/>
    <x v="0"/>
    <s v="SET184-KR-PP-XS"/>
    <x v="1"/>
    <s v="XS"/>
    <n v="1"/>
    <s v="INR"/>
    <n v="268"/>
    <x v="6"/>
    <n v="551408"/>
    <s v="IN"/>
    <b v="0"/>
  </r>
  <r>
    <n v="39"/>
    <s v="267-647657-46757373"/>
    <n v="1773848"/>
    <x v="1"/>
    <n v="21"/>
    <x v="1"/>
    <d v="2024-12-10T00:00:00"/>
    <x v="0"/>
    <x v="1"/>
    <x v="2"/>
    <s v="JNE1233-BLUE-KR-031-XXL"/>
    <x v="2"/>
    <s v="XXL"/>
    <n v="1"/>
    <s v="INR"/>
    <n v="684"/>
    <x v="6"/>
    <n v="562519"/>
    <s v="IN"/>
    <b v="0"/>
  </r>
  <r>
    <n v="40"/>
    <s v="354-565868-57687646"/>
    <n v="4656267"/>
    <x v="0"/>
    <n v="20"/>
    <x v="1"/>
    <d v="2024-11-11T00:00:00"/>
    <x v="1"/>
    <x v="0"/>
    <x v="1"/>
    <s v="SET110-KR-PP-M"/>
    <x v="1"/>
    <s v="M"/>
    <n v="1"/>
    <s v="INR"/>
    <n v="467"/>
    <x v="0"/>
    <n v="573630"/>
    <s v="IN"/>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FD0C18-38DB-4822-9F3E-9BB907ACBF3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C5" firstHeaderRow="0" firstDataRow="1" firstDataCol="1"/>
  <pivotFields count="20">
    <pivotField showAll="0"/>
    <pivotField dataField="1" showAll="0"/>
    <pivotField showAll="0"/>
    <pivotField showAll="0"/>
    <pivotField showAll="0"/>
    <pivotField showAll="0"/>
    <pivotField numFmtId="14" showAll="0"/>
    <pivotField axis="axisRow" showAll="0">
      <items count="3">
        <item x="1"/>
        <item x="0"/>
        <item t="default"/>
      </items>
    </pivotField>
    <pivotField showAll="0"/>
    <pivotField showAll="0">
      <items count="8">
        <item x="1"/>
        <item x="2"/>
        <item x="3"/>
        <item x="4"/>
        <item x="0"/>
        <item x="6"/>
        <item x="5"/>
        <item t="default"/>
      </items>
    </pivotField>
    <pivotField showAll="0"/>
    <pivotField showAll="0">
      <items count="5">
        <item x="0"/>
        <item x="1"/>
        <item x="3"/>
        <item x="2"/>
        <item t="default"/>
      </items>
    </pivotField>
    <pivotField showAll="0"/>
    <pivotField showAll="0"/>
    <pivotField showAll="0"/>
    <pivotField dataField="1" showAll="0"/>
    <pivotField showAll="0"/>
    <pivotField showAll="0"/>
    <pivotField showAll="0"/>
    <pivotField showAll="0"/>
  </pivotFields>
  <rowFields count="1">
    <field x="7"/>
  </rowFields>
  <rowItems count="2">
    <i>
      <x/>
    </i>
    <i>
      <x v="1"/>
    </i>
  </rowItems>
  <colFields count="1">
    <field x="-2"/>
  </colFields>
  <colItems count="2">
    <i>
      <x/>
    </i>
    <i i="1">
      <x v="1"/>
    </i>
  </colItems>
  <dataFields count="2">
    <dataField name="Sum of Amount" fld="15" baseField="0" baseItem="0"/>
    <dataField name="Count of Order I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708225-3C7D-4F27-934E-213BA86F6FE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5" firstHeaderRow="1" firstDataRow="1" firstDataCol="1"/>
  <pivotFields count="20">
    <pivotField showAll="0"/>
    <pivotField showAll="0"/>
    <pivotField showAll="0"/>
    <pivotField axis="axisRow" showAll="0">
      <items count="3">
        <item x="1"/>
        <item x="0"/>
        <item t="default"/>
      </items>
    </pivotField>
    <pivotField showAll="0"/>
    <pivotField showAll="0"/>
    <pivotField numFmtId="14" showAll="0"/>
    <pivotField showAll="0">
      <items count="3">
        <item x="1"/>
        <item x="0"/>
        <item t="default"/>
      </items>
    </pivotField>
    <pivotField showAll="0"/>
    <pivotField showAll="0">
      <items count="8">
        <item x="1"/>
        <item x="2"/>
        <item x="3"/>
        <item x="4"/>
        <item x="0"/>
        <item x="6"/>
        <item x="5"/>
        <item t="default"/>
      </items>
    </pivotField>
    <pivotField showAll="0"/>
    <pivotField showAll="0">
      <items count="5">
        <item x="0"/>
        <item x="1"/>
        <item x="3"/>
        <item x="2"/>
        <item t="default"/>
      </items>
    </pivotField>
    <pivotField showAll="0"/>
    <pivotField showAll="0"/>
    <pivotField showAll="0"/>
    <pivotField dataField="1" showAll="0"/>
    <pivotField showAll="0"/>
    <pivotField showAll="0"/>
    <pivotField showAll="0"/>
    <pivotField showAll="0"/>
  </pivotFields>
  <rowFields count="1">
    <field x="3"/>
  </rowFields>
  <rowItems count="2">
    <i>
      <x/>
    </i>
    <i>
      <x v="1"/>
    </i>
  </rowItems>
  <colItems count="1">
    <i/>
  </colItems>
  <dataFields count="1">
    <dataField name="Sum of Amount" fld="15"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D87E5D-BFED-4B4A-A84D-1C55218CA4E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5" firstHeaderRow="1" firstDataRow="1" firstDataCol="1"/>
  <pivotFields count="20">
    <pivotField showAll="0"/>
    <pivotField dataField="1" showAll="0"/>
    <pivotField showAll="0"/>
    <pivotField showAll="0"/>
    <pivotField showAll="0"/>
    <pivotField showAll="0"/>
    <pivotField numFmtId="14" showAll="0"/>
    <pivotField showAll="0">
      <items count="3">
        <item x="1"/>
        <item x="0"/>
        <item t="default"/>
      </items>
    </pivotField>
    <pivotField axis="axisRow" showAll="0">
      <items count="3">
        <item x="0"/>
        <item x="1"/>
        <item t="default"/>
      </items>
    </pivotField>
    <pivotField showAll="0">
      <items count="8">
        <item x="1"/>
        <item x="2"/>
        <item x="3"/>
        <item x="4"/>
        <item x="0"/>
        <item x="6"/>
        <item x="5"/>
        <item t="default"/>
      </items>
    </pivotField>
    <pivotField showAll="0"/>
    <pivotField showAll="0">
      <items count="5">
        <item x="0"/>
        <item x="1"/>
        <item x="3"/>
        <item x="2"/>
        <item t="default"/>
      </items>
    </pivotField>
    <pivotField showAll="0"/>
    <pivotField showAll="0"/>
    <pivotField showAll="0"/>
    <pivotField showAll="0"/>
    <pivotField showAll="0"/>
    <pivotField showAll="0"/>
    <pivotField showAll="0"/>
    <pivotField showAll="0"/>
  </pivotFields>
  <rowFields count="1">
    <field x="8"/>
  </rowFields>
  <rowItems count="2">
    <i>
      <x/>
    </i>
    <i>
      <x v="1"/>
    </i>
  </rowItems>
  <colItems count="1">
    <i/>
  </colItems>
  <dataFields count="1">
    <dataField name="Count of Order ID" fld="1"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40191F-F04D-457D-B56E-5E6648BBA79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B8" firstHeaderRow="1" firstDataRow="1" firstDataCol="1"/>
  <pivotFields count="20">
    <pivotField showAll="0"/>
    <pivotField showAll="0"/>
    <pivotField showAll="0"/>
    <pivotField showAll="0"/>
    <pivotField showAll="0"/>
    <pivotField showAll="0"/>
    <pivotField numFmtId="14" showAll="0"/>
    <pivotField showAll="0">
      <items count="3">
        <item x="1"/>
        <item x="0"/>
        <item t="default"/>
      </items>
    </pivotField>
    <pivotField showAll="0"/>
    <pivotField showAll="0">
      <items count="8">
        <item x="1"/>
        <item x="2"/>
        <item x="3"/>
        <item x="4"/>
        <item x="0"/>
        <item x="6"/>
        <item x="5"/>
        <item t="default"/>
      </items>
    </pivotField>
    <pivotField showAll="0"/>
    <pivotField showAll="0">
      <items count="5">
        <item x="0"/>
        <item x="1"/>
        <item x="3"/>
        <item x="2"/>
        <item t="default"/>
      </items>
    </pivotField>
    <pivotField showAll="0"/>
    <pivotField showAll="0"/>
    <pivotField showAll="0"/>
    <pivotField dataField="1" showAll="0"/>
    <pivotField axis="axisRow" showAll="0" measureFilter="1" sortType="ascending">
      <items count="10">
        <item x="3"/>
        <item x="2"/>
        <item x="4"/>
        <item x="8"/>
        <item x="6"/>
        <item x="1"/>
        <item x="7"/>
        <item x="5"/>
        <item x="0"/>
        <item t="default"/>
      </items>
    </pivotField>
    <pivotField showAll="0"/>
    <pivotField showAll="0"/>
    <pivotField showAll="0"/>
  </pivotFields>
  <rowFields count="1">
    <field x="16"/>
  </rowFields>
  <rowItems count="5">
    <i>
      <x/>
    </i>
    <i>
      <x v="4"/>
    </i>
    <i>
      <x v="5"/>
    </i>
    <i>
      <x v="7"/>
    </i>
    <i>
      <x v="8"/>
    </i>
  </rowItems>
  <colItems count="1">
    <i/>
  </colItems>
  <dataFields count="1">
    <dataField name="Sum of Amount" fld="1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0EE2D6-F684-4CF5-BB99-C575F7BD4AB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C7" firstHeaderRow="1" firstDataRow="2" firstDataCol="1"/>
  <pivotFields count="20">
    <pivotField showAll="0"/>
    <pivotField dataField="1" showAll="0"/>
    <pivotField showAll="0"/>
    <pivotField axis="axisCol" showAll="0">
      <items count="3">
        <item x="1"/>
        <item x="0"/>
        <item t="default"/>
      </items>
    </pivotField>
    <pivotField showAll="0"/>
    <pivotField axis="axisRow" showAll="0">
      <items count="4">
        <item x="0"/>
        <item x="2"/>
        <item x="1"/>
        <item t="default"/>
      </items>
    </pivotField>
    <pivotField numFmtId="14" showAll="0"/>
    <pivotField showAll="0">
      <items count="3">
        <item x="1"/>
        <item x="0"/>
        <item t="default"/>
      </items>
    </pivotField>
    <pivotField showAll="0"/>
    <pivotField showAll="0">
      <items count="8">
        <item x="1"/>
        <item x="2"/>
        <item x="3"/>
        <item x="4"/>
        <item x="0"/>
        <item x="6"/>
        <item x="5"/>
        <item t="default"/>
      </items>
    </pivotField>
    <pivotField showAll="0"/>
    <pivotField showAll="0">
      <items count="5">
        <item x="0"/>
        <item x="1"/>
        <item x="3"/>
        <item x="2"/>
        <item t="default"/>
      </items>
    </pivotField>
    <pivotField showAll="0"/>
    <pivotField showAll="0"/>
    <pivotField showAll="0"/>
    <pivotField showAll="0"/>
    <pivotField showAll="0"/>
    <pivotField showAll="0"/>
    <pivotField showAll="0"/>
    <pivotField showAll="0"/>
  </pivotFields>
  <rowFields count="1">
    <field x="5"/>
  </rowFields>
  <rowItems count="3">
    <i>
      <x/>
    </i>
    <i>
      <x v="1"/>
    </i>
    <i>
      <x v="2"/>
    </i>
  </rowItems>
  <colFields count="1">
    <field x="3"/>
  </colFields>
  <colItems count="2">
    <i>
      <x/>
    </i>
    <i>
      <x v="1"/>
    </i>
  </colItems>
  <dataFields count="1">
    <dataField name="Count of Order ID" fld="1" subtotal="count" showDataAs="percentOfTotal" baseField="0" baseItem="0" numFmtId="1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D43AF2-FD0E-4F1E-AA31-0B3D80B05F8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B10" firstHeaderRow="1" firstDataRow="1" firstDataCol="1"/>
  <pivotFields count="20">
    <pivotField showAll="0"/>
    <pivotField dataField="1" showAll="0"/>
    <pivotField showAll="0"/>
    <pivotField showAll="0"/>
    <pivotField showAll="0"/>
    <pivotField showAll="0"/>
    <pivotField numFmtId="14" showAll="0"/>
    <pivotField showAll="0">
      <items count="3">
        <item x="1"/>
        <item x="0"/>
        <item t="default"/>
      </items>
    </pivotField>
    <pivotField showAll="0"/>
    <pivotField axis="axisRow" showAll="0">
      <items count="8">
        <item x="1"/>
        <item x="2"/>
        <item x="3"/>
        <item x="4"/>
        <item x="0"/>
        <item x="6"/>
        <item x="5"/>
        <item t="default"/>
      </items>
    </pivotField>
    <pivotField showAll="0"/>
    <pivotField showAll="0">
      <items count="5">
        <item x="0"/>
        <item x="1"/>
        <item x="3"/>
        <item x="2"/>
        <item t="default"/>
      </items>
    </pivotField>
    <pivotField showAll="0"/>
    <pivotField showAll="0"/>
    <pivotField showAll="0"/>
    <pivotField showAll="0"/>
    <pivotField showAll="0"/>
    <pivotField showAll="0"/>
    <pivotField showAll="0"/>
    <pivotField showAll="0"/>
  </pivotFields>
  <rowFields count="1">
    <field x="9"/>
  </rowFields>
  <rowItems count="7">
    <i>
      <x/>
    </i>
    <i>
      <x v="1"/>
    </i>
    <i>
      <x v="2"/>
    </i>
    <i>
      <x v="3"/>
    </i>
    <i>
      <x v="4"/>
    </i>
    <i>
      <x v="5"/>
    </i>
    <i>
      <x v="6"/>
    </i>
  </rowItems>
  <colItems count="1">
    <i/>
  </colItems>
  <dataFields count="1">
    <dataField name="Count of Order ID" fld="1" subtotal="count" showDataAs="percentOfTotal" baseField="0" baseItem="0" numFmtId="164"/>
  </dataFields>
  <formats count="2">
    <format dxfId="1">
      <pivotArea collapsedLevelsAreSubtotals="1" fieldPosition="0">
        <references count="1">
          <reference field="9" count="1">
            <x v="0"/>
          </reference>
        </references>
      </pivotArea>
    </format>
    <format dxfId="0">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9" count="1" selected="0">
            <x v="0"/>
          </reference>
        </references>
      </pivotArea>
    </chartFormat>
    <chartFormat chart="3" format="11">
      <pivotArea type="data" outline="0" fieldPosition="0">
        <references count="2">
          <reference field="4294967294" count="1" selected="0">
            <x v="0"/>
          </reference>
          <reference field="9" count="1" selected="0">
            <x v="1"/>
          </reference>
        </references>
      </pivotArea>
    </chartFormat>
    <chartFormat chart="3" format="12">
      <pivotArea type="data" outline="0" fieldPosition="0">
        <references count="2">
          <reference field="4294967294" count="1" selected="0">
            <x v="0"/>
          </reference>
          <reference field="9" count="1" selected="0">
            <x v="2"/>
          </reference>
        </references>
      </pivotArea>
    </chartFormat>
    <chartFormat chart="3" format="13">
      <pivotArea type="data" outline="0" fieldPosition="0">
        <references count="2">
          <reference field="4294967294" count="1" selected="0">
            <x v="0"/>
          </reference>
          <reference field="9" count="1" selected="0">
            <x v="3"/>
          </reference>
        </references>
      </pivotArea>
    </chartFormat>
    <chartFormat chart="3" format="14">
      <pivotArea type="data" outline="0" fieldPosition="0">
        <references count="2">
          <reference field="4294967294" count="1" selected="0">
            <x v="0"/>
          </reference>
          <reference field="9" count="1" selected="0">
            <x v="4"/>
          </reference>
        </references>
      </pivotArea>
    </chartFormat>
    <chartFormat chart="3" format="15">
      <pivotArea type="data" outline="0" fieldPosition="0">
        <references count="2">
          <reference field="4294967294" count="1" selected="0">
            <x v="0"/>
          </reference>
          <reference field="9" count="1" selected="0">
            <x v="5"/>
          </reference>
        </references>
      </pivotArea>
    </chartFormat>
    <chartFormat chart="3" format="16">
      <pivotArea type="data" outline="0" fieldPosition="0">
        <references count="2">
          <reference field="4294967294" count="1" selected="0">
            <x v="0"/>
          </reference>
          <reference field="9" count="1" selected="0">
            <x v="6"/>
          </reference>
        </references>
      </pivotArea>
    </chartFormat>
    <chartFormat chart="0"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160EB2E-25C2-4609-9DF4-D15769228573}" sourceName="Month">
  <pivotTables>
    <pivotTable tabId="3" name="PivotTable2"/>
    <pivotTable tabId="8" name="PivotTable4"/>
    <pivotTable tabId="10" name="PivotTable5"/>
    <pivotTable tabId="5" name="PivotTable1"/>
    <pivotTable tabId="6" name="PivotTable2"/>
    <pivotTable tabId="7" name="PivotTable3"/>
  </pivotTables>
  <data>
    <tabular pivotCacheId="29819230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656E876-125C-4FCF-8B20-66AA587E3287}" sourceName="Channel">
  <pivotTables>
    <pivotTable tabId="3" name="PivotTable2"/>
    <pivotTable tabId="8" name="PivotTable4"/>
    <pivotTable tabId="10" name="PivotTable5"/>
    <pivotTable tabId="5" name="PivotTable1"/>
    <pivotTable tabId="6" name="PivotTable2"/>
    <pivotTable tabId="7" name="PivotTable3"/>
  </pivotTables>
  <data>
    <tabular pivotCacheId="298192305">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93B0C3-B7C4-4927-B312-E9F39AE61A8E}" sourceName="Category">
  <pivotTables>
    <pivotTable tabId="3" name="PivotTable2"/>
    <pivotTable tabId="8" name="PivotTable4"/>
    <pivotTable tabId="10" name="PivotTable5"/>
    <pivotTable tabId="5" name="PivotTable1"/>
    <pivotTable tabId="6" name="PivotTable2"/>
    <pivotTable tabId="7" name="PivotTable3"/>
  </pivotTables>
  <data>
    <tabular pivotCacheId="298192305">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E816367-28ED-46E0-B7E7-CAE70309A8F7}" cache="Slicer_Month" caption="Month" rowHeight="234950"/>
  <slicer name="Channel" xr10:uid="{973ECD41-D73D-4FC4-AD40-EE91372C0ABA}" cache="Slicer_Channel" caption="Channel" rowHeight="234950"/>
  <slicer name="Category" xr10:uid="{2DD7457E-0F76-4B6F-BB06-7BBF577516FC}"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97831-D9CE-48B9-9DF9-C40020CF2112}">
  <dimension ref="A1:U40"/>
  <sheetViews>
    <sheetView showGridLines="0" tabSelected="1" zoomScale="110" zoomScaleNormal="110" workbookViewId="0">
      <selection activeCell="W8" sqref="W8"/>
    </sheetView>
  </sheetViews>
  <sheetFormatPr defaultRowHeight="15" x14ac:dyDescent="0.25"/>
  <cols>
    <col min="1" max="1" width="28.28515625" bestFit="1" customWidth="1"/>
  </cols>
  <sheetData>
    <row r="1" spans="1:21" ht="21.75" thickBot="1" x14ac:dyDescent="0.4">
      <c r="A1" s="8" t="s">
        <v>109</v>
      </c>
      <c r="B1" s="9"/>
      <c r="C1" s="9"/>
      <c r="D1" s="9"/>
      <c r="E1" s="9"/>
      <c r="F1" s="9"/>
      <c r="G1" s="9"/>
      <c r="H1" s="9"/>
      <c r="I1" s="9"/>
      <c r="J1" s="9"/>
      <c r="K1" s="9"/>
      <c r="L1" s="9"/>
      <c r="M1" s="9"/>
      <c r="N1" s="9"/>
      <c r="O1" s="9"/>
      <c r="P1" s="9"/>
      <c r="Q1" s="9"/>
      <c r="R1" s="9"/>
      <c r="S1" s="9"/>
      <c r="T1" s="9"/>
      <c r="U1" s="10"/>
    </row>
    <row r="2" spans="1:21" s="5" customFormat="1" x14ac:dyDescent="0.25"/>
    <row r="3" spans="1:21" s="5" customFormat="1" x14ac:dyDescent="0.25"/>
    <row r="4" spans="1:21" s="5" customFormat="1" x14ac:dyDescent="0.25"/>
    <row r="5" spans="1:21" s="5" customFormat="1" x14ac:dyDescent="0.25"/>
    <row r="6" spans="1:21" s="5" customFormat="1" x14ac:dyDescent="0.25"/>
    <row r="7" spans="1:21" s="5" customFormat="1" x14ac:dyDescent="0.25"/>
    <row r="8" spans="1:21" s="5" customFormat="1" x14ac:dyDescent="0.25"/>
    <row r="9" spans="1:21" s="5" customFormat="1" x14ac:dyDescent="0.25"/>
    <row r="10" spans="1:21" s="5" customFormat="1" x14ac:dyDescent="0.25"/>
    <row r="11" spans="1:21" s="5" customFormat="1" x14ac:dyDescent="0.25"/>
    <row r="12" spans="1:21" s="5" customFormat="1" x14ac:dyDescent="0.25"/>
    <row r="13" spans="1:21" s="5" customFormat="1" x14ac:dyDescent="0.25"/>
    <row r="14" spans="1:21" s="5" customFormat="1" x14ac:dyDescent="0.25"/>
    <row r="15" spans="1:21" s="5" customFormat="1" x14ac:dyDescent="0.25"/>
    <row r="16" spans="1:21" s="5" customFormat="1" x14ac:dyDescent="0.25"/>
    <row r="17" s="5" customFormat="1" x14ac:dyDescent="0.25"/>
    <row r="18" s="5" customFormat="1" x14ac:dyDescent="0.25"/>
    <row r="19" s="5" customFormat="1" x14ac:dyDescent="0.25"/>
    <row r="20" s="5" customFormat="1" x14ac:dyDescent="0.25"/>
    <row r="21" s="5" customFormat="1" x14ac:dyDescent="0.25"/>
    <row r="22" s="5" customFormat="1" x14ac:dyDescent="0.25"/>
    <row r="23" s="5" customFormat="1" x14ac:dyDescent="0.25"/>
    <row r="24" s="5" customFormat="1" x14ac:dyDescent="0.25"/>
    <row r="25" s="5" customFormat="1" x14ac:dyDescent="0.25"/>
    <row r="26" s="5" customFormat="1" x14ac:dyDescent="0.25"/>
    <row r="27" s="5" customFormat="1" x14ac:dyDescent="0.25"/>
    <row r="28" s="5" customFormat="1" x14ac:dyDescent="0.25"/>
    <row r="29" s="5" customFormat="1" x14ac:dyDescent="0.25"/>
    <row r="30" s="5" customFormat="1" x14ac:dyDescent="0.25"/>
    <row r="31" s="5" customFormat="1" x14ac:dyDescent="0.25"/>
    <row r="32" s="5" customFormat="1" x14ac:dyDescent="0.25"/>
    <row r="33" s="5" customFormat="1" x14ac:dyDescent="0.25"/>
    <row r="34" s="5" customFormat="1" x14ac:dyDescent="0.25"/>
    <row r="35" s="5" customFormat="1" x14ac:dyDescent="0.25"/>
    <row r="36" s="5" customFormat="1" x14ac:dyDescent="0.25"/>
    <row r="37" s="5" customFormat="1" x14ac:dyDescent="0.25"/>
    <row r="38" s="5" customFormat="1" x14ac:dyDescent="0.25"/>
    <row r="39" s="5" customFormat="1" x14ac:dyDescent="0.25"/>
    <row r="40" s="5" customFormat="1" x14ac:dyDescent="0.25"/>
  </sheetData>
  <mergeCells count="1">
    <mergeCell ref="A1:U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DF0A9-5BA6-46EC-BE76-B068DFF34167}">
  <dimension ref="A3:C5"/>
  <sheetViews>
    <sheetView workbookViewId="0">
      <selection activeCell="A3" sqref="A3:C5"/>
    </sheetView>
  </sheetViews>
  <sheetFormatPr defaultRowHeight="15" x14ac:dyDescent="0.25"/>
  <cols>
    <col min="1" max="1" width="12.5703125" bestFit="1" customWidth="1"/>
    <col min="2" max="2" width="14.42578125" bestFit="1" customWidth="1"/>
    <col min="3" max="3" width="15.85546875" bestFit="1" customWidth="1"/>
  </cols>
  <sheetData>
    <row r="3" spans="1:3" x14ac:dyDescent="0.25">
      <c r="A3" s="3" t="s">
        <v>105</v>
      </c>
      <c r="B3" t="s">
        <v>103</v>
      </c>
      <c r="C3" t="s">
        <v>104</v>
      </c>
    </row>
    <row r="4" spans="1:3" x14ac:dyDescent="0.25">
      <c r="A4" s="4" t="s">
        <v>106</v>
      </c>
      <c r="B4">
        <v>15462</v>
      </c>
      <c r="C4">
        <v>13</v>
      </c>
    </row>
    <row r="5" spans="1:3" x14ac:dyDescent="0.25">
      <c r="A5" s="4" t="s">
        <v>107</v>
      </c>
      <c r="B5">
        <v>47771</v>
      </c>
      <c r="C5">
        <v>27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3FE1A-B1D8-4777-BEBC-F5429C5DAAEC}">
  <dimension ref="A3:B5"/>
  <sheetViews>
    <sheetView workbookViewId="0">
      <selection activeCell="F2" sqref="F2"/>
    </sheetView>
  </sheetViews>
  <sheetFormatPr defaultRowHeight="15" x14ac:dyDescent="0.25"/>
  <cols>
    <col min="1" max="1" width="12.5703125" bestFit="1" customWidth="1"/>
    <col min="2" max="2" width="14.42578125" bestFit="1" customWidth="1"/>
  </cols>
  <sheetData>
    <row r="3" spans="1:2" x14ac:dyDescent="0.25">
      <c r="A3" s="3" t="s">
        <v>105</v>
      </c>
      <c r="B3" t="s">
        <v>103</v>
      </c>
    </row>
    <row r="4" spans="1:2" x14ac:dyDescent="0.25">
      <c r="A4" s="4" t="s">
        <v>6</v>
      </c>
      <c r="B4">
        <v>13199</v>
      </c>
    </row>
    <row r="5" spans="1:2" x14ac:dyDescent="0.25">
      <c r="A5" s="4" t="s">
        <v>5</v>
      </c>
      <c r="B5">
        <v>50034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7B4F0-2F9E-48C0-AD0E-70B8FBD6DAC9}">
  <dimension ref="A3:B5"/>
  <sheetViews>
    <sheetView zoomScale="90" zoomScaleNormal="90" workbookViewId="0">
      <selection activeCell="N6" sqref="N6"/>
    </sheetView>
  </sheetViews>
  <sheetFormatPr defaultRowHeight="15" x14ac:dyDescent="0.25"/>
  <cols>
    <col min="1" max="1" width="13.42578125" bestFit="1" customWidth="1"/>
    <col min="2" max="2" width="16.7109375" bestFit="1" customWidth="1"/>
  </cols>
  <sheetData>
    <row r="3" spans="1:2" x14ac:dyDescent="0.25">
      <c r="A3" s="3" t="s">
        <v>105</v>
      </c>
      <c r="B3" t="s">
        <v>104</v>
      </c>
    </row>
    <row r="4" spans="1:2" x14ac:dyDescent="0.25">
      <c r="A4" s="4" t="s">
        <v>10</v>
      </c>
      <c r="B4">
        <v>36</v>
      </c>
    </row>
    <row r="5" spans="1:2" x14ac:dyDescent="0.25">
      <c r="A5" s="4" t="s">
        <v>11</v>
      </c>
      <c r="B5">
        <v>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CA1F3-BD03-4DA2-BBAC-21605BA36E24}">
  <dimension ref="A3:B8"/>
  <sheetViews>
    <sheetView workbookViewId="0">
      <selection activeCell="P15" sqref="P15"/>
    </sheetView>
  </sheetViews>
  <sheetFormatPr defaultRowHeight="15" x14ac:dyDescent="0.25"/>
  <cols>
    <col min="1" max="1" width="12.5703125" bestFit="1" customWidth="1"/>
    <col min="2" max="2" width="14.42578125" bestFit="1" customWidth="1"/>
  </cols>
  <sheetData>
    <row r="3" spans="1:2" x14ac:dyDescent="0.25">
      <c r="A3" s="3" t="s">
        <v>105</v>
      </c>
      <c r="B3" t="s">
        <v>103</v>
      </c>
    </row>
    <row r="4" spans="1:2" x14ac:dyDescent="0.25">
      <c r="A4" s="4" t="s">
        <v>28</v>
      </c>
      <c r="B4">
        <v>2291</v>
      </c>
    </row>
    <row r="5" spans="1:2" x14ac:dyDescent="0.25">
      <c r="A5" s="4" t="s">
        <v>30</v>
      </c>
      <c r="B5">
        <v>31302</v>
      </c>
    </row>
    <row r="6" spans="1:2" x14ac:dyDescent="0.25">
      <c r="A6" s="4" t="s">
        <v>26</v>
      </c>
      <c r="B6">
        <v>3765</v>
      </c>
    </row>
    <row r="7" spans="1:2" x14ac:dyDescent="0.25">
      <c r="A7" s="4" t="s">
        <v>25</v>
      </c>
      <c r="B7">
        <v>5582</v>
      </c>
    </row>
    <row r="8" spans="1:2" x14ac:dyDescent="0.25">
      <c r="A8" s="4" t="s">
        <v>24</v>
      </c>
      <c r="B8">
        <v>18069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33C81-F28F-489C-B4A4-6C33BCEF17BF}">
  <dimension ref="A3:C7"/>
  <sheetViews>
    <sheetView workbookViewId="0">
      <selection activeCell="M14" sqref="M14"/>
    </sheetView>
  </sheetViews>
  <sheetFormatPr defaultRowHeight="15" x14ac:dyDescent="0.25"/>
  <cols>
    <col min="1" max="1" width="15.85546875" bestFit="1" customWidth="1"/>
    <col min="2" max="2" width="15.5703125" bestFit="1" customWidth="1"/>
    <col min="3" max="3" width="7.28515625" bestFit="1" customWidth="1"/>
    <col min="4" max="4" width="10.7109375" bestFit="1" customWidth="1"/>
  </cols>
  <sheetData>
    <row r="3" spans="1:3" x14ac:dyDescent="0.25">
      <c r="A3" s="3" t="s">
        <v>104</v>
      </c>
      <c r="B3" s="3" t="s">
        <v>108</v>
      </c>
    </row>
    <row r="4" spans="1:3" x14ac:dyDescent="0.25">
      <c r="A4" s="3" t="s">
        <v>105</v>
      </c>
      <c r="B4" t="s">
        <v>6</v>
      </c>
      <c r="C4" t="s">
        <v>5</v>
      </c>
    </row>
    <row r="5" spans="1:3" x14ac:dyDescent="0.25">
      <c r="A5" s="4" t="s">
        <v>99</v>
      </c>
      <c r="B5" s="6">
        <v>0.1</v>
      </c>
      <c r="C5" s="6">
        <v>0.27500000000000002</v>
      </c>
    </row>
    <row r="6" spans="1:3" x14ac:dyDescent="0.25">
      <c r="A6" s="4" t="s">
        <v>101</v>
      </c>
      <c r="B6" s="6">
        <v>0.05</v>
      </c>
      <c r="C6" s="6">
        <v>2.5000000000000001E-2</v>
      </c>
    </row>
    <row r="7" spans="1:3" x14ac:dyDescent="0.25">
      <c r="A7" s="4" t="s">
        <v>100</v>
      </c>
      <c r="B7" s="6">
        <v>0.25</v>
      </c>
      <c r="C7" s="6">
        <v>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C3EB1-C925-4632-B452-75A2995410F9}">
  <dimension ref="A3:B10"/>
  <sheetViews>
    <sheetView workbookViewId="0">
      <selection activeCell="K5" sqref="K5"/>
    </sheetView>
  </sheetViews>
  <sheetFormatPr defaultRowHeight="15" x14ac:dyDescent="0.25"/>
  <cols>
    <col min="1" max="1" width="12.5703125" bestFit="1" customWidth="1"/>
    <col min="2" max="2" width="15.85546875" bestFit="1" customWidth="1"/>
  </cols>
  <sheetData>
    <row r="3" spans="1:2" x14ac:dyDescent="0.25">
      <c r="A3" s="3" t="s">
        <v>105</v>
      </c>
      <c r="B3" t="s">
        <v>104</v>
      </c>
    </row>
    <row r="4" spans="1:2" x14ac:dyDescent="0.25">
      <c r="A4" s="4" t="s">
        <v>14</v>
      </c>
      <c r="B4" s="7">
        <v>0.05</v>
      </c>
    </row>
    <row r="5" spans="1:2" x14ac:dyDescent="0.25">
      <c r="A5" s="4" t="s">
        <v>15</v>
      </c>
      <c r="B5" s="7">
        <v>0.42499999999999999</v>
      </c>
    </row>
    <row r="6" spans="1:2" x14ac:dyDescent="0.25">
      <c r="A6" s="4" t="s">
        <v>16</v>
      </c>
      <c r="B6" s="7">
        <v>0.125</v>
      </c>
    </row>
    <row r="7" spans="1:2" x14ac:dyDescent="0.25">
      <c r="A7" s="4" t="s">
        <v>17</v>
      </c>
      <c r="B7" s="7">
        <v>0.125</v>
      </c>
    </row>
    <row r="8" spans="1:2" x14ac:dyDescent="0.25">
      <c r="A8" s="4" t="s">
        <v>13</v>
      </c>
      <c r="B8" s="7">
        <v>0.22500000000000001</v>
      </c>
    </row>
    <row r="9" spans="1:2" x14ac:dyDescent="0.25">
      <c r="A9" s="4" t="s">
        <v>19</v>
      </c>
      <c r="B9" s="7">
        <v>2.5000000000000001E-2</v>
      </c>
    </row>
    <row r="10" spans="1:2" x14ac:dyDescent="0.25">
      <c r="A10" s="4" t="s">
        <v>18</v>
      </c>
      <c r="B10" s="7">
        <v>2.5000000000000001E-2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AF79D-FD96-4134-8048-BCE4169718E8}">
  <dimension ref="A1:T41"/>
  <sheetViews>
    <sheetView topLeftCell="A38" workbookViewId="0">
      <selection activeCell="A44" sqref="A44"/>
    </sheetView>
  </sheetViews>
  <sheetFormatPr defaultRowHeight="15" x14ac:dyDescent="0.25"/>
  <cols>
    <col min="2" max="2" width="20.42578125" customWidth="1"/>
    <col min="3" max="4" width="10.28515625" customWidth="1"/>
    <col min="5" max="5" width="5.42578125" customWidth="1"/>
    <col min="6" max="6" width="9.140625" bestFit="1" customWidth="1"/>
    <col min="7" max="7" width="10.28515625" bestFit="1" customWidth="1"/>
    <col min="8" max="8" width="10.28515625" customWidth="1"/>
    <col min="11" max="11" width="23.28515625" bestFit="1" customWidth="1"/>
    <col min="12" max="12" width="12.28515625" bestFit="1" customWidth="1"/>
    <col min="17" max="17" width="10.42578125" bestFit="1" customWidth="1"/>
    <col min="18" max="18" width="14.7109375" bestFit="1" customWidth="1"/>
    <col min="19" max="19" width="11.28515625" bestFit="1" customWidth="1"/>
  </cols>
  <sheetData>
    <row r="1" spans="1:20" x14ac:dyDescent="0.25">
      <c r="A1" t="s">
        <v>73</v>
      </c>
      <c r="B1" t="s">
        <v>74</v>
      </c>
      <c r="C1" t="s">
        <v>2</v>
      </c>
      <c r="D1" t="s">
        <v>4</v>
      </c>
      <c r="E1" t="s">
        <v>7</v>
      </c>
      <c r="F1" s="2" t="s">
        <v>98</v>
      </c>
      <c r="G1" t="s">
        <v>8</v>
      </c>
      <c r="H1" s="2" t="s">
        <v>102</v>
      </c>
      <c r="I1" t="s">
        <v>9</v>
      </c>
      <c r="J1" t="s">
        <v>12</v>
      </c>
      <c r="K1" t="s">
        <v>20</v>
      </c>
      <c r="L1" t="s">
        <v>75</v>
      </c>
      <c r="M1" t="s">
        <v>76</v>
      </c>
      <c r="N1" t="s">
        <v>21</v>
      </c>
      <c r="O1" t="s">
        <v>77</v>
      </c>
      <c r="P1" t="s">
        <v>22</v>
      </c>
      <c r="Q1" t="s">
        <v>78</v>
      </c>
      <c r="R1" t="s">
        <v>94</v>
      </c>
      <c r="S1" t="s">
        <v>95</v>
      </c>
      <c r="T1" t="s">
        <v>96</v>
      </c>
    </row>
    <row r="2" spans="1:20" x14ac:dyDescent="0.25">
      <c r="A2">
        <v>1</v>
      </c>
      <c r="B2" t="s">
        <v>0</v>
      </c>
      <c r="C2">
        <v>1029312</v>
      </c>
      <c r="D2" t="s">
        <v>5</v>
      </c>
      <c r="E2">
        <v>44</v>
      </c>
      <c r="F2" t="s">
        <v>99</v>
      </c>
      <c r="G2" s="1">
        <v>45630</v>
      </c>
      <c r="H2" s="1" t="str">
        <f>TEXT(G2,"mmm")</f>
        <v>Dec</v>
      </c>
      <c r="I2" t="s">
        <v>10</v>
      </c>
      <c r="J2" t="s">
        <v>13</v>
      </c>
      <c r="K2" t="s">
        <v>55</v>
      </c>
      <c r="L2" t="s">
        <v>61</v>
      </c>
      <c r="M2" t="s">
        <v>58</v>
      </c>
      <c r="N2">
        <v>1</v>
      </c>
      <c r="O2" t="s">
        <v>23</v>
      </c>
      <c r="P2">
        <v>347</v>
      </c>
      <c r="Q2" t="s">
        <v>24</v>
      </c>
      <c r="R2">
        <v>140301</v>
      </c>
      <c r="S2" t="s">
        <v>97</v>
      </c>
      <c r="T2" t="b">
        <v>0</v>
      </c>
    </row>
    <row r="3" spans="1:20" x14ac:dyDescent="0.25">
      <c r="A3">
        <v>2</v>
      </c>
      <c r="B3" t="s">
        <v>1</v>
      </c>
      <c r="C3">
        <v>2186438</v>
      </c>
      <c r="D3" t="s">
        <v>5</v>
      </c>
      <c r="E3">
        <v>32</v>
      </c>
      <c r="F3" t="s">
        <v>99</v>
      </c>
      <c r="G3" s="1">
        <v>45598</v>
      </c>
      <c r="H3" s="1" t="str">
        <f>TEXT(G3,"mmm")</f>
        <v>Nov</v>
      </c>
      <c r="I3" t="s">
        <v>10</v>
      </c>
      <c r="J3" t="s">
        <v>14</v>
      </c>
      <c r="K3" t="s">
        <v>56</v>
      </c>
      <c r="L3" t="s">
        <v>62</v>
      </c>
      <c r="M3" t="s">
        <v>59</v>
      </c>
      <c r="N3">
        <v>1</v>
      </c>
      <c r="O3" t="s">
        <v>23</v>
      </c>
      <c r="P3">
        <v>657</v>
      </c>
      <c r="Q3" t="s">
        <v>24</v>
      </c>
      <c r="R3">
        <v>151412</v>
      </c>
      <c r="S3" t="s">
        <v>97</v>
      </c>
      <c r="T3" t="b">
        <v>0</v>
      </c>
    </row>
    <row r="4" spans="1:20" x14ac:dyDescent="0.25">
      <c r="A4">
        <v>3</v>
      </c>
      <c r="B4" t="s">
        <v>3</v>
      </c>
      <c r="C4">
        <v>3648682</v>
      </c>
      <c r="D4" t="s">
        <v>5</v>
      </c>
      <c r="E4">
        <v>34</v>
      </c>
      <c r="F4" t="s">
        <v>99</v>
      </c>
      <c r="G4" s="1">
        <v>45627</v>
      </c>
      <c r="H4" s="1" t="str">
        <f t="shared" ref="H4:H41" si="0">TEXT(G4,"mmm")</f>
        <v>Dec</v>
      </c>
      <c r="I4" t="s">
        <v>10</v>
      </c>
      <c r="J4" t="s">
        <v>15</v>
      </c>
      <c r="K4" t="s">
        <v>57</v>
      </c>
      <c r="L4" t="s">
        <v>62</v>
      </c>
      <c r="M4" t="s">
        <v>60</v>
      </c>
      <c r="N4">
        <v>1</v>
      </c>
      <c r="O4" t="s">
        <v>23</v>
      </c>
      <c r="P4">
        <v>3765</v>
      </c>
      <c r="Q4" t="s">
        <v>26</v>
      </c>
      <c r="R4">
        <v>162523</v>
      </c>
      <c r="S4" t="s">
        <v>97</v>
      </c>
      <c r="T4" t="b">
        <v>0</v>
      </c>
    </row>
    <row r="5" spans="1:20" x14ac:dyDescent="0.25">
      <c r="A5">
        <v>4</v>
      </c>
      <c r="B5" t="s">
        <v>33</v>
      </c>
      <c r="C5">
        <v>2774974</v>
      </c>
      <c r="D5" t="s">
        <v>5</v>
      </c>
      <c r="E5">
        <v>19</v>
      </c>
      <c r="F5" t="s">
        <v>100</v>
      </c>
      <c r="G5" s="1">
        <v>45631</v>
      </c>
      <c r="H5" s="1" t="str">
        <f t="shared" si="0"/>
        <v>Dec</v>
      </c>
      <c r="I5" t="s">
        <v>10</v>
      </c>
      <c r="J5" t="s">
        <v>16</v>
      </c>
      <c r="K5" t="s">
        <v>57</v>
      </c>
      <c r="L5" t="s">
        <v>62</v>
      </c>
      <c r="M5" t="s">
        <v>60</v>
      </c>
      <c r="N5">
        <v>1</v>
      </c>
      <c r="O5" t="s">
        <v>23</v>
      </c>
      <c r="P5">
        <v>756</v>
      </c>
      <c r="Q5" t="s">
        <v>27</v>
      </c>
      <c r="R5">
        <v>173634</v>
      </c>
      <c r="S5" t="s">
        <v>97</v>
      </c>
      <c r="T5" t="b">
        <v>0</v>
      </c>
    </row>
    <row r="6" spans="1:20" x14ac:dyDescent="0.25">
      <c r="A6">
        <v>5</v>
      </c>
      <c r="B6" t="s">
        <v>34</v>
      </c>
      <c r="C6">
        <v>4548567</v>
      </c>
      <c r="D6" t="s">
        <v>5</v>
      </c>
      <c r="E6">
        <v>23</v>
      </c>
      <c r="F6" t="s">
        <v>100</v>
      </c>
      <c r="G6" s="1">
        <v>45633</v>
      </c>
      <c r="H6" s="1" t="str">
        <f t="shared" si="0"/>
        <v>Dec</v>
      </c>
      <c r="I6" t="s">
        <v>10</v>
      </c>
      <c r="J6" t="s">
        <v>17</v>
      </c>
      <c r="K6" t="s">
        <v>55</v>
      </c>
      <c r="L6" t="s">
        <v>61</v>
      </c>
      <c r="M6" t="s">
        <v>58</v>
      </c>
      <c r="N6">
        <v>1</v>
      </c>
      <c r="O6" t="s">
        <v>23</v>
      </c>
      <c r="P6">
        <v>576</v>
      </c>
      <c r="Q6" t="s">
        <v>28</v>
      </c>
      <c r="R6">
        <v>184745</v>
      </c>
      <c r="S6" t="s">
        <v>97</v>
      </c>
      <c r="T6" t="b">
        <v>0</v>
      </c>
    </row>
    <row r="7" spans="1:20" x14ac:dyDescent="0.25">
      <c r="A7">
        <v>6</v>
      </c>
      <c r="B7" t="s">
        <v>35</v>
      </c>
      <c r="C7">
        <v>7574975</v>
      </c>
      <c r="D7" t="s">
        <v>5</v>
      </c>
      <c r="E7">
        <v>56</v>
      </c>
      <c r="F7" t="s">
        <v>101</v>
      </c>
      <c r="G7" s="1">
        <v>45604</v>
      </c>
      <c r="H7" s="1" t="s">
        <v>106</v>
      </c>
      <c r="I7" t="s">
        <v>10</v>
      </c>
      <c r="J7" t="s">
        <v>18</v>
      </c>
      <c r="K7" t="s">
        <v>55</v>
      </c>
      <c r="L7" t="s">
        <v>63</v>
      </c>
      <c r="M7" t="s">
        <v>58</v>
      </c>
      <c r="N7">
        <v>1</v>
      </c>
      <c r="O7" t="s">
        <v>23</v>
      </c>
      <c r="P7">
        <v>374</v>
      </c>
      <c r="Q7" t="s">
        <v>29</v>
      </c>
      <c r="R7">
        <v>195856</v>
      </c>
      <c r="S7" t="s">
        <v>97</v>
      </c>
      <c r="T7" t="b">
        <v>0</v>
      </c>
    </row>
    <row r="8" spans="1:20" x14ac:dyDescent="0.25">
      <c r="A8">
        <v>7</v>
      </c>
      <c r="B8" t="s">
        <v>36</v>
      </c>
      <c r="C8">
        <v>3758793</v>
      </c>
      <c r="D8" t="s">
        <v>5</v>
      </c>
      <c r="E8">
        <v>34</v>
      </c>
      <c r="F8" t="s">
        <v>99</v>
      </c>
      <c r="G8" s="1">
        <v>45635</v>
      </c>
      <c r="H8" s="1" t="str">
        <f t="shared" si="0"/>
        <v>Dec</v>
      </c>
      <c r="I8" t="s">
        <v>10</v>
      </c>
      <c r="J8" t="s">
        <v>19</v>
      </c>
      <c r="K8" t="s">
        <v>55</v>
      </c>
      <c r="L8" t="s">
        <v>61</v>
      </c>
      <c r="M8" t="s">
        <v>58</v>
      </c>
      <c r="N8">
        <v>1</v>
      </c>
      <c r="O8" t="s">
        <v>23</v>
      </c>
      <c r="P8">
        <v>576</v>
      </c>
      <c r="Q8" t="s">
        <v>25</v>
      </c>
      <c r="R8">
        <v>206967</v>
      </c>
      <c r="S8" t="s">
        <v>97</v>
      </c>
      <c r="T8" t="b">
        <v>0</v>
      </c>
    </row>
    <row r="9" spans="1:20" x14ac:dyDescent="0.25">
      <c r="A9">
        <v>8</v>
      </c>
      <c r="B9" t="s">
        <v>37</v>
      </c>
      <c r="C9">
        <v>4685636</v>
      </c>
      <c r="D9" t="s">
        <v>5</v>
      </c>
      <c r="E9">
        <v>23</v>
      </c>
      <c r="F9" t="s">
        <v>100</v>
      </c>
      <c r="G9" s="1">
        <v>45636</v>
      </c>
      <c r="H9" s="1" t="str">
        <f t="shared" si="0"/>
        <v>Dec</v>
      </c>
      <c r="I9" t="s">
        <v>10</v>
      </c>
      <c r="J9" t="s">
        <v>15</v>
      </c>
      <c r="K9" t="s">
        <v>69</v>
      </c>
      <c r="L9" t="s">
        <v>61</v>
      </c>
      <c r="M9" t="s">
        <v>65</v>
      </c>
      <c r="N9">
        <v>1</v>
      </c>
      <c r="O9" t="s">
        <v>23</v>
      </c>
      <c r="P9">
        <v>875</v>
      </c>
      <c r="Q9" t="s">
        <v>30</v>
      </c>
      <c r="R9">
        <v>218078</v>
      </c>
      <c r="S9" t="s">
        <v>97</v>
      </c>
      <c r="T9" t="b">
        <v>0</v>
      </c>
    </row>
    <row r="10" spans="1:20" x14ac:dyDescent="0.25">
      <c r="A10">
        <v>9</v>
      </c>
      <c r="B10" t="s">
        <v>38</v>
      </c>
      <c r="C10">
        <v>4663646</v>
      </c>
      <c r="D10" t="s">
        <v>6</v>
      </c>
      <c r="E10">
        <v>63</v>
      </c>
      <c r="F10" t="s">
        <v>101</v>
      </c>
      <c r="G10" s="1">
        <v>45637</v>
      </c>
      <c r="H10" s="1" t="str">
        <f t="shared" si="0"/>
        <v>Dec</v>
      </c>
      <c r="I10" t="s">
        <v>10</v>
      </c>
      <c r="J10" t="s">
        <v>15</v>
      </c>
      <c r="K10" t="s">
        <v>70</v>
      </c>
      <c r="L10" t="s">
        <v>61</v>
      </c>
      <c r="M10" t="s">
        <v>66</v>
      </c>
      <c r="N10">
        <v>1</v>
      </c>
      <c r="O10" t="s">
        <v>23</v>
      </c>
      <c r="P10">
        <v>5875</v>
      </c>
      <c r="Q10" t="s">
        <v>30</v>
      </c>
      <c r="R10">
        <v>229189</v>
      </c>
      <c r="S10" t="s">
        <v>97</v>
      </c>
      <c r="T10" t="b">
        <v>0</v>
      </c>
    </row>
    <row r="11" spans="1:20" x14ac:dyDescent="0.25">
      <c r="A11">
        <v>10</v>
      </c>
      <c r="B11" t="s">
        <v>39</v>
      </c>
      <c r="C11">
        <v>4678438</v>
      </c>
      <c r="D11" t="s">
        <v>5</v>
      </c>
      <c r="E11">
        <v>26</v>
      </c>
      <c r="F11" t="s">
        <v>100</v>
      </c>
      <c r="G11" s="1">
        <v>45608</v>
      </c>
      <c r="H11" s="1" t="s">
        <v>106</v>
      </c>
      <c r="I11" t="s">
        <v>10</v>
      </c>
      <c r="J11" t="s">
        <v>15</v>
      </c>
      <c r="K11" t="s">
        <v>56</v>
      </c>
      <c r="L11" t="s">
        <v>61</v>
      </c>
      <c r="M11" t="s">
        <v>59</v>
      </c>
      <c r="N11">
        <v>1</v>
      </c>
      <c r="O11" t="s">
        <v>23</v>
      </c>
      <c r="P11">
        <v>1937</v>
      </c>
      <c r="Q11" t="s">
        <v>30</v>
      </c>
      <c r="R11">
        <v>240300</v>
      </c>
      <c r="S11" t="s">
        <v>97</v>
      </c>
      <c r="T11" t="b">
        <v>0</v>
      </c>
    </row>
    <row r="12" spans="1:20" x14ac:dyDescent="0.25">
      <c r="A12">
        <v>11</v>
      </c>
      <c r="B12" t="s">
        <v>40</v>
      </c>
      <c r="C12">
        <v>4887494</v>
      </c>
      <c r="D12" t="s">
        <v>5</v>
      </c>
      <c r="E12">
        <v>22</v>
      </c>
      <c r="F12" t="s">
        <v>100</v>
      </c>
      <c r="G12" s="1">
        <v>45639</v>
      </c>
      <c r="H12" s="1" t="str">
        <f t="shared" si="0"/>
        <v>Dec</v>
      </c>
      <c r="I12" t="s">
        <v>10</v>
      </c>
      <c r="J12" t="s">
        <v>15</v>
      </c>
      <c r="K12" t="s">
        <v>57</v>
      </c>
      <c r="L12" t="s">
        <v>61</v>
      </c>
      <c r="M12" t="s">
        <v>60</v>
      </c>
      <c r="N12">
        <v>1</v>
      </c>
      <c r="O12" t="s">
        <v>23</v>
      </c>
      <c r="P12">
        <v>1234</v>
      </c>
      <c r="Q12" t="s">
        <v>24</v>
      </c>
      <c r="R12">
        <v>251411</v>
      </c>
      <c r="S12" t="s">
        <v>97</v>
      </c>
      <c r="T12" t="b">
        <v>0</v>
      </c>
    </row>
    <row r="13" spans="1:20" x14ac:dyDescent="0.25">
      <c r="A13">
        <v>12</v>
      </c>
      <c r="B13" t="s">
        <v>41</v>
      </c>
      <c r="C13">
        <v>9868755</v>
      </c>
      <c r="D13" t="s">
        <v>5</v>
      </c>
      <c r="E13">
        <v>21</v>
      </c>
      <c r="F13" t="s">
        <v>100</v>
      </c>
      <c r="G13" s="1">
        <v>45640</v>
      </c>
      <c r="H13" s="1" t="str">
        <f t="shared" si="0"/>
        <v>Dec</v>
      </c>
      <c r="I13" t="s">
        <v>10</v>
      </c>
      <c r="J13" t="s">
        <v>15</v>
      </c>
      <c r="K13" t="s">
        <v>69</v>
      </c>
      <c r="L13" t="s">
        <v>64</v>
      </c>
      <c r="M13" t="s">
        <v>65</v>
      </c>
      <c r="N13">
        <v>1</v>
      </c>
      <c r="O13" t="s">
        <v>23</v>
      </c>
      <c r="P13">
        <v>5647</v>
      </c>
      <c r="Q13" t="s">
        <v>24</v>
      </c>
      <c r="R13">
        <v>262522</v>
      </c>
      <c r="S13" t="s">
        <v>97</v>
      </c>
      <c r="T13" t="b">
        <v>0</v>
      </c>
    </row>
    <row r="14" spans="1:20" x14ac:dyDescent="0.25">
      <c r="A14">
        <v>13</v>
      </c>
      <c r="B14" t="s">
        <v>42</v>
      </c>
      <c r="C14">
        <v>8768574</v>
      </c>
      <c r="D14" t="s">
        <v>6</v>
      </c>
      <c r="E14">
        <v>20</v>
      </c>
      <c r="F14" t="s">
        <v>100</v>
      </c>
      <c r="G14" s="1">
        <v>45641</v>
      </c>
      <c r="H14" s="1" t="str">
        <f t="shared" si="0"/>
        <v>Dec</v>
      </c>
      <c r="I14" t="s">
        <v>10</v>
      </c>
      <c r="J14" t="s">
        <v>15</v>
      </c>
      <c r="K14" t="s">
        <v>70</v>
      </c>
      <c r="L14" t="s">
        <v>62</v>
      </c>
      <c r="M14" t="s">
        <v>66</v>
      </c>
      <c r="N14">
        <v>1</v>
      </c>
      <c r="O14" t="s">
        <v>23</v>
      </c>
      <c r="P14">
        <v>476</v>
      </c>
      <c r="Q14" t="s">
        <v>25</v>
      </c>
      <c r="R14">
        <v>273633</v>
      </c>
      <c r="S14" t="s">
        <v>97</v>
      </c>
      <c r="T14" t="b">
        <v>0</v>
      </c>
    </row>
    <row r="15" spans="1:20" x14ac:dyDescent="0.25">
      <c r="A15">
        <v>14</v>
      </c>
      <c r="B15" t="s">
        <v>43</v>
      </c>
      <c r="C15">
        <v>4759874</v>
      </c>
      <c r="D15" t="s">
        <v>6</v>
      </c>
      <c r="E15">
        <v>24</v>
      </c>
      <c r="F15" t="s">
        <v>100</v>
      </c>
      <c r="G15" s="1">
        <v>45612</v>
      </c>
      <c r="H15" s="1" t="s">
        <v>106</v>
      </c>
      <c r="I15" t="s">
        <v>10</v>
      </c>
      <c r="J15" t="s">
        <v>15</v>
      </c>
      <c r="K15" t="s">
        <v>69</v>
      </c>
      <c r="L15" t="s">
        <v>62</v>
      </c>
      <c r="M15" t="s">
        <v>65</v>
      </c>
      <c r="N15">
        <v>1</v>
      </c>
      <c r="O15" t="s">
        <v>23</v>
      </c>
      <c r="P15">
        <v>376</v>
      </c>
      <c r="Q15" t="s">
        <v>31</v>
      </c>
      <c r="R15">
        <v>284744</v>
      </c>
      <c r="S15" t="s">
        <v>97</v>
      </c>
      <c r="T15" t="b">
        <v>0</v>
      </c>
    </row>
    <row r="16" spans="1:20" x14ac:dyDescent="0.25">
      <c r="A16">
        <v>15</v>
      </c>
      <c r="B16" t="s">
        <v>44</v>
      </c>
      <c r="C16">
        <v>4758493</v>
      </c>
      <c r="D16" t="s">
        <v>6</v>
      </c>
      <c r="E16">
        <v>25</v>
      </c>
      <c r="F16" t="s">
        <v>100</v>
      </c>
      <c r="G16" s="1">
        <v>45643</v>
      </c>
      <c r="H16" s="1" t="str">
        <f t="shared" si="0"/>
        <v>Dec</v>
      </c>
      <c r="I16" t="s">
        <v>10</v>
      </c>
      <c r="J16" t="s">
        <v>13</v>
      </c>
      <c r="K16" t="s">
        <v>69</v>
      </c>
      <c r="L16" t="s">
        <v>62</v>
      </c>
      <c r="M16" t="s">
        <v>65</v>
      </c>
      <c r="N16">
        <v>1</v>
      </c>
      <c r="O16" t="s">
        <v>23</v>
      </c>
      <c r="P16">
        <v>476</v>
      </c>
      <c r="Q16" t="s">
        <v>32</v>
      </c>
      <c r="R16">
        <v>295855</v>
      </c>
      <c r="S16" t="s">
        <v>97</v>
      </c>
      <c r="T16" t="b">
        <v>0</v>
      </c>
    </row>
    <row r="17" spans="1:20" x14ac:dyDescent="0.25">
      <c r="A17">
        <v>16</v>
      </c>
      <c r="B17" t="s">
        <v>45</v>
      </c>
      <c r="C17">
        <v>4757895</v>
      </c>
      <c r="D17" t="s">
        <v>6</v>
      </c>
      <c r="E17">
        <v>26</v>
      </c>
      <c r="F17" t="s">
        <v>100</v>
      </c>
      <c r="G17" s="1">
        <v>45644</v>
      </c>
      <c r="H17" s="1" t="str">
        <f t="shared" si="0"/>
        <v>Dec</v>
      </c>
      <c r="I17" t="s">
        <v>10</v>
      </c>
      <c r="J17" t="s">
        <v>13</v>
      </c>
      <c r="K17" t="s">
        <v>56</v>
      </c>
      <c r="L17" t="s">
        <v>64</v>
      </c>
      <c r="M17" t="s">
        <v>59</v>
      </c>
      <c r="N17">
        <v>1</v>
      </c>
      <c r="O17" t="s">
        <v>23</v>
      </c>
      <c r="P17">
        <v>242</v>
      </c>
      <c r="Q17" t="s">
        <v>32</v>
      </c>
      <c r="R17">
        <v>306966</v>
      </c>
      <c r="S17" t="s">
        <v>97</v>
      </c>
      <c r="T17" t="b">
        <v>0</v>
      </c>
    </row>
    <row r="18" spans="1:20" x14ac:dyDescent="0.25">
      <c r="A18">
        <v>17</v>
      </c>
      <c r="B18" t="s">
        <v>46</v>
      </c>
      <c r="C18">
        <v>8797677</v>
      </c>
      <c r="D18" t="s">
        <v>6</v>
      </c>
      <c r="E18">
        <v>27</v>
      </c>
      <c r="F18" t="s">
        <v>100</v>
      </c>
      <c r="G18" s="1">
        <v>45615</v>
      </c>
      <c r="H18" s="1" t="s">
        <v>106</v>
      </c>
      <c r="I18" t="s">
        <v>10</v>
      </c>
      <c r="J18" t="s">
        <v>13</v>
      </c>
      <c r="K18" t="s">
        <v>70</v>
      </c>
      <c r="L18" t="s">
        <v>62</v>
      </c>
      <c r="M18" t="s">
        <v>66</v>
      </c>
      <c r="N18">
        <v>1</v>
      </c>
      <c r="O18" t="s">
        <v>23</v>
      </c>
      <c r="P18">
        <v>465</v>
      </c>
      <c r="Q18" t="s">
        <v>30</v>
      </c>
      <c r="R18">
        <v>318077</v>
      </c>
      <c r="S18" t="s">
        <v>97</v>
      </c>
      <c r="T18" t="b">
        <v>0</v>
      </c>
    </row>
    <row r="19" spans="1:20" x14ac:dyDescent="0.25">
      <c r="A19">
        <v>18</v>
      </c>
      <c r="B19" t="s">
        <v>47</v>
      </c>
      <c r="C19">
        <v>6487875</v>
      </c>
      <c r="D19" t="s">
        <v>5</v>
      </c>
      <c r="E19">
        <v>28</v>
      </c>
      <c r="F19" t="s">
        <v>100</v>
      </c>
      <c r="G19" s="1">
        <v>45646</v>
      </c>
      <c r="H19" s="1" t="str">
        <f t="shared" si="0"/>
        <v>Dec</v>
      </c>
      <c r="I19" t="s">
        <v>10</v>
      </c>
      <c r="J19" t="s">
        <v>13</v>
      </c>
      <c r="K19" t="s">
        <v>71</v>
      </c>
      <c r="L19" t="s">
        <v>62</v>
      </c>
      <c r="M19" t="s">
        <v>67</v>
      </c>
      <c r="N19">
        <v>1</v>
      </c>
      <c r="O19" t="s">
        <v>23</v>
      </c>
      <c r="P19">
        <v>5726</v>
      </c>
      <c r="Q19" t="s">
        <v>30</v>
      </c>
      <c r="R19">
        <v>329188</v>
      </c>
      <c r="S19" t="s">
        <v>97</v>
      </c>
      <c r="T19" t="b">
        <v>0</v>
      </c>
    </row>
    <row r="20" spans="1:20" x14ac:dyDescent="0.25">
      <c r="A20">
        <v>19</v>
      </c>
      <c r="B20" t="s">
        <v>48</v>
      </c>
      <c r="C20">
        <v>6864765</v>
      </c>
      <c r="D20" t="s">
        <v>6</v>
      </c>
      <c r="E20">
        <v>33</v>
      </c>
      <c r="F20" t="s">
        <v>99</v>
      </c>
      <c r="G20" s="1">
        <v>45617</v>
      </c>
      <c r="H20" s="1" t="str">
        <f t="shared" si="0"/>
        <v>Nov</v>
      </c>
      <c r="I20" t="s">
        <v>11</v>
      </c>
      <c r="J20" t="s">
        <v>16</v>
      </c>
      <c r="K20" t="s">
        <v>55</v>
      </c>
      <c r="L20" t="s">
        <v>63</v>
      </c>
      <c r="M20" t="s">
        <v>58</v>
      </c>
      <c r="N20">
        <v>1</v>
      </c>
      <c r="O20" t="s">
        <v>23</v>
      </c>
      <c r="P20">
        <v>367</v>
      </c>
      <c r="Q20" t="s">
        <v>24</v>
      </c>
      <c r="R20">
        <v>340299</v>
      </c>
      <c r="S20" t="s">
        <v>97</v>
      </c>
      <c r="T20" t="b">
        <v>1</v>
      </c>
    </row>
    <row r="21" spans="1:20" x14ac:dyDescent="0.25">
      <c r="A21">
        <v>20</v>
      </c>
      <c r="B21" t="s">
        <v>49</v>
      </c>
      <c r="C21">
        <v>4676836</v>
      </c>
      <c r="D21" t="s">
        <v>6</v>
      </c>
      <c r="E21">
        <v>55</v>
      </c>
      <c r="F21" t="s">
        <v>101</v>
      </c>
      <c r="G21" s="1">
        <v>45648</v>
      </c>
      <c r="H21" s="1" t="str">
        <f t="shared" si="0"/>
        <v>Dec</v>
      </c>
      <c r="I21" t="s">
        <v>10</v>
      </c>
      <c r="J21" t="s">
        <v>17</v>
      </c>
      <c r="K21" t="s">
        <v>69</v>
      </c>
      <c r="L21" t="s">
        <v>62</v>
      </c>
      <c r="M21" t="s">
        <v>65</v>
      </c>
      <c r="N21">
        <v>1</v>
      </c>
      <c r="O21" t="s">
        <v>23</v>
      </c>
      <c r="P21">
        <v>987</v>
      </c>
      <c r="Q21" t="s">
        <v>30</v>
      </c>
      <c r="R21">
        <v>351410</v>
      </c>
      <c r="S21" t="s">
        <v>97</v>
      </c>
      <c r="T21" t="b">
        <v>1</v>
      </c>
    </row>
    <row r="22" spans="1:20" x14ac:dyDescent="0.25">
      <c r="A22">
        <v>21</v>
      </c>
      <c r="B22" t="s">
        <v>50</v>
      </c>
      <c r="C22">
        <v>6867368</v>
      </c>
      <c r="D22" t="s">
        <v>6</v>
      </c>
      <c r="E22">
        <v>35</v>
      </c>
      <c r="F22" t="s">
        <v>99</v>
      </c>
      <c r="G22" s="1">
        <v>45649</v>
      </c>
      <c r="H22" s="1" t="str">
        <f t="shared" si="0"/>
        <v>Dec</v>
      </c>
      <c r="I22" t="s">
        <v>10</v>
      </c>
      <c r="J22" t="s">
        <v>16</v>
      </c>
      <c r="K22" t="s">
        <v>72</v>
      </c>
      <c r="L22" t="s">
        <v>62</v>
      </c>
      <c r="M22" t="s">
        <v>68</v>
      </c>
      <c r="N22">
        <v>1</v>
      </c>
      <c r="O22" t="s">
        <v>23</v>
      </c>
      <c r="P22">
        <v>648</v>
      </c>
      <c r="Q22" t="s">
        <v>30</v>
      </c>
      <c r="R22">
        <v>362521</v>
      </c>
      <c r="S22" t="s">
        <v>97</v>
      </c>
      <c r="T22" t="b">
        <v>1</v>
      </c>
    </row>
    <row r="23" spans="1:20" x14ac:dyDescent="0.25">
      <c r="A23">
        <v>22</v>
      </c>
      <c r="B23" t="s">
        <v>51</v>
      </c>
      <c r="C23">
        <v>4676583</v>
      </c>
      <c r="D23" t="s">
        <v>5</v>
      </c>
      <c r="E23">
        <v>35</v>
      </c>
      <c r="F23" t="s">
        <v>99</v>
      </c>
      <c r="G23" s="1">
        <v>45620</v>
      </c>
      <c r="H23" s="1" t="str">
        <f t="shared" si="0"/>
        <v>Nov</v>
      </c>
      <c r="I23" t="s">
        <v>10</v>
      </c>
      <c r="J23" t="s">
        <v>13</v>
      </c>
      <c r="K23" t="s">
        <v>57</v>
      </c>
      <c r="L23" t="s">
        <v>63</v>
      </c>
      <c r="M23" t="s">
        <v>60</v>
      </c>
      <c r="N23">
        <v>1</v>
      </c>
      <c r="O23" t="s">
        <v>23</v>
      </c>
      <c r="P23">
        <v>2534</v>
      </c>
      <c r="Q23" t="s">
        <v>24</v>
      </c>
      <c r="R23">
        <v>373632</v>
      </c>
      <c r="S23" t="s">
        <v>97</v>
      </c>
      <c r="T23" t="b">
        <v>1</v>
      </c>
    </row>
    <row r="24" spans="1:20" x14ac:dyDescent="0.25">
      <c r="A24">
        <v>23</v>
      </c>
      <c r="B24" t="s">
        <v>52</v>
      </c>
      <c r="C24">
        <v>4678842</v>
      </c>
      <c r="D24" t="s">
        <v>6</v>
      </c>
      <c r="E24">
        <v>23</v>
      </c>
      <c r="F24" t="s">
        <v>100</v>
      </c>
      <c r="G24" s="1">
        <v>45651</v>
      </c>
      <c r="H24" s="1" t="str">
        <f t="shared" si="0"/>
        <v>Dec</v>
      </c>
      <c r="I24" t="s">
        <v>10</v>
      </c>
      <c r="J24" t="s">
        <v>15</v>
      </c>
      <c r="K24" t="s">
        <v>69</v>
      </c>
      <c r="L24" t="s">
        <v>62</v>
      </c>
      <c r="M24" t="s">
        <v>65</v>
      </c>
      <c r="N24">
        <v>1</v>
      </c>
      <c r="O24" t="s">
        <v>23</v>
      </c>
      <c r="P24">
        <v>563</v>
      </c>
      <c r="Q24" t="s">
        <v>28</v>
      </c>
      <c r="R24">
        <v>384743</v>
      </c>
      <c r="S24" t="s">
        <v>97</v>
      </c>
      <c r="T24" t="b">
        <v>1</v>
      </c>
    </row>
    <row r="25" spans="1:20" x14ac:dyDescent="0.25">
      <c r="A25">
        <v>24</v>
      </c>
      <c r="B25" t="s">
        <v>53</v>
      </c>
      <c r="C25">
        <v>8778564</v>
      </c>
      <c r="D25" t="s">
        <v>5</v>
      </c>
      <c r="E25">
        <v>40</v>
      </c>
      <c r="F25" t="s">
        <v>99</v>
      </c>
      <c r="G25" s="1">
        <v>45652</v>
      </c>
      <c r="H25" s="1" t="str">
        <f t="shared" si="0"/>
        <v>Dec</v>
      </c>
      <c r="I25" t="s">
        <v>10</v>
      </c>
      <c r="J25" t="s">
        <v>15</v>
      </c>
      <c r="K25" t="s">
        <v>56</v>
      </c>
      <c r="L25" t="s">
        <v>63</v>
      </c>
      <c r="M25" t="s">
        <v>59</v>
      </c>
      <c r="N25">
        <v>1</v>
      </c>
      <c r="O25" t="s">
        <v>23</v>
      </c>
      <c r="P25">
        <v>3256</v>
      </c>
      <c r="Q25" t="s">
        <v>25</v>
      </c>
      <c r="R25">
        <v>395854</v>
      </c>
      <c r="S25" t="s">
        <v>97</v>
      </c>
      <c r="T25" t="b">
        <v>1</v>
      </c>
    </row>
    <row r="26" spans="1:20" x14ac:dyDescent="0.25">
      <c r="A26">
        <v>25</v>
      </c>
      <c r="B26" t="s">
        <v>54</v>
      </c>
      <c r="C26">
        <v>7876644</v>
      </c>
      <c r="D26" t="s">
        <v>6</v>
      </c>
      <c r="E26">
        <v>29</v>
      </c>
      <c r="F26" t="s">
        <v>100</v>
      </c>
      <c r="G26" s="1">
        <v>45623</v>
      </c>
      <c r="H26" s="1" t="str">
        <f t="shared" si="0"/>
        <v>Nov</v>
      </c>
      <c r="I26" t="s">
        <v>10</v>
      </c>
      <c r="J26" t="s">
        <v>15</v>
      </c>
      <c r="K26" t="s">
        <v>56</v>
      </c>
      <c r="L26" t="s">
        <v>61</v>
      </c>
      <c r="M26" t="s">
        <v>59</v>
      </c>
      <c r="N26">
        <v>1</v>
      </c>
      <c r="O26" t="s">
        <v>23</v>
      </c>
      <c r="P26">
        <v>365</v>
      </c>
      <c r="Q26" t="s">
        <v>30</v>
      </c>
      <c r="R26">
        <v>406965</v>
      </c>
      <c r="S26" t="s">
        <v>97</v>
      </c>
      <c r="T26" t="b">
        <v>1</v>
      </c>
    </row>
    <row r="27" spans="1:20" x14ac:dyDescent="0.25">
      <c r="A27">
        <v>26</v>
      </c>
      <c r="B27" t="s">
        <v>79</v>
      </c>
      <c r="C27">
        <v>5887499</v>
      </c>
      <c r="D27" t="s">
        <v>5</v>
      </c>
      <c r="E27">
        <v>33</v>
      </c>
      <c r="F27" t="s">
        <v>99</v>
      </c>
      <c r="G27" s="1">
        <v>45654</v>
      </c>
      <c r="H27" s="1" t="str">
        <f t="shared" si="0"/>
        <v>Dec</v>
      </c>
      <c r="I27" t="s">
        <v>10</v>
      </c>
      <c r="J27" t="s">
        <v>17</v>
      </c>
      <c r="K27" t="s">
        <v>57</v>
      </c>
      <c r="L27" t="s">
        <v>63</v>
      </c>
      <c r="M27" t="s">
        <v>60</v>
      </c>
      <c r="N27">
        <v>1</v>
      </c>
      <c r="O27" t="s">
        <v>23</v>
      </c>
      <c r="P27">
        <v>5768</v>
      </c>
      <c r="Q27" t="s">
        <v>24</v>
      </c>
      <c r="R27">
        <v>418076</v>
      </c>
      <c r="S27" t="s">
        <v>97</v>
      </c>
      <c r="T27" t="b">
        <v>0</v>
      </c>
    </row>
    <row r="28" spans="1:20" x14ac:dyDescent="0.25">
      <c r="A28">
        <v>27</v>
      </c>
      <c r="B28" t="s">
        <v>80</v>
      </c>
      <c r="C28">
        <v>5688765</v>
      </c>
      <c r="D28" t="s">
        <v>6</v>
      </c>
      <c r="E28">
        <v>23</v>
      </c>
      <c r="F28" t="s">
        <v>100</v>
      </c>
      <c r="G28" s="1">
        <v>45655</v>
      </c>
      <c r="H28" s="1" t="str">
        <f t="shared" si="0"/>
        <v>Dec</v>
      </c>
      <c r="I28" t="s">
        <v>10</v>
      </c>
      <c r="J28" t="s">
        <v>16</v>
      </c>
      <c r="K28" t="s">
        <v>69</v>
      </c>
      <c r="L28" t="s">
        <v>62</v>
      </c>
      <c r="M28" t="s">
        <v>65</v>
      </c>
      <c r="N28">
        <v>1</v>
      </c>
      <c r="O28" t="s">
        <v>23</v>
      </c>
      <c r="P28">
        <v>458</v>
      </c>
      <c r="Q28" t="s">
        <v>30</v>
      </c>
      <c r="R28">
        <v>429187</v>
      </c>
      <c r="S28" t="s">
        <v>97</v>
      </c>
      <c r="T28" t="b">
        <v>1</v>
      </c>
    </row>
    <row r="29" spans="1:20" x14ac:dyDescent="0.25">
      <c r="A29">
        <v>28</v>
      </c>
      <c r="B29" t="s">
        <v>81</v>
      </c>
      <c r="C29">
        <v>5687648</v>
      </c>
      <c r="D29" t="s">
        <v>5</v>
      </c>
      <c r="E29">
        <v>45</v>
      </c>
      <c r="F29" t="s">
        <v>99</v>
      </c>
      <c r="G29" s="1">
        <v>45626</v>
      </c>
      <c r="H29" s="1" t="str">
        <f t="shared" si="0"/>
        <v>Nov</v>
      </c>
      <c r="I29" t="s">
        <v>10</v>
      </c>
      <c r="J29" t="s">
        <v>13</v>
      </c>
      <c r="K29" t="s">
        <v>70</v>
      </c>
      <c r="L29" t="s">
        <v>62</v>
      </c>
      <c r="M29" t="s">
        <v>66</v>
      </c>
      <c r="N29">
        <v>1</v>
      </c>
      <c r="O29" t="s">
        <v>23</v>
      </c>
      <c r="P29">
        <v>6476</v>
      </c>
      <c r="Q29" t="s">
        <v>30</v>
      </c>
      <c r="R29">
        <v>440298</v>
      </c>
      <c r="S29" t="s">
        <v>97</v>
      </c>
      <c r="T29" t="b">
        <v>1</v>
      </c>
    </row>
    <row r="30" spans="1:20" x14ac:dyDescent="0.25">
      <c r="A30">
        <v>29</v>
      </c>
      <c r="B30" t="s">
        <v>82</v>
      </c>
      <c r="C30">
        <v>5768496</v>
      </c>
      <c r="D30" t="s">
        <v>6</v>
      </c>
      <c r="E30">
        <v>46</v>
      </c>
      <c r="F30" t="s">
        <v>99</v>
      </c>
      <c r="G30" s="1">
        <v>45657</v>
      </c>
      <c r="H30" s="1" t="str">
        <f t="shared" si="0"/>
        <v>Dec</v>
      </c>
      <c r="I30" t="s">
        <v>10</v>
      </c>
      <c r="J30" t="s">
        <v>15</v>
      </c>
      <c r="K30" t="s">
        <v>71</v>
      </c>
      <c r="L30" t="s">
        <v>62</v>
      </c>
      <c r="M30" t="s">
        <v>67</v>
      </c>
      <c r="N30">
        <v>1</v>
      </c>
      <c r="O30" t="s">
        <v>23</v>
      </c>
      <c r="P30">
        <v>465</v>
      </c>
      <c r="Q30" t="s">
        <v>24</v>
      </c>
      <c r="R30">
        <v>451409</v>
      </c>
      <c r="S30" t="s">
        <v>97</v>
      </c>
      <c r="T30" t="b">
        <v>1</v>
      </c>
    </row>
    <row r="31" spans="1:20" x14ac:dyDescent="0.25">
      <c r="A31">
        <v>30</v>
      </c>
      <c r="B31" t="s">
        <v>83</v>
      </c>
      <c r="C31">
        <v>6787695</v>
      </c>
      <c r="D31" t="s">
        <v>5</v>
      </c>
      <c r="E31">
        <v>26</v>
      </c>
      <c r="F31" t="s">
        <v>100</v>
      </c>
      <c r="G31" s="1">
        <v>45627</v>
      </c>
      <c r="H31" s="1" t="str">
        <f t="shared" si="0"/>
        <v>Dec</v>
      </c>
      <c r="I31" t="s">
        <v>10</v>
      </c>
      <c r="J31" t="s">
        <v>15</v>
      </c>
      <c r="K31" t="s">
        <v>55</v>
      </c>
      <c r="L31" t="s">
        <v>63</v>
      </c>
      <c r="M31" t="s">
        <v>58</v>
      </c>
      <c r="N31">
        <v>1</v>
      </c>
      <c r="O31" t="s">
        <v>23</v>
      </c>
      <c r="P31">
        <v>476</v>
      </c>
      <c r="Q31" t="s">
        <v>28</v>
      </c>
      <c r="R31">
        <v>462520</v>
      </c>
      <c r="S31" t="s">
        <v>97</v>
      </c>
      <c r="T31" t="b">
        <v>1</v>
      </c>
    </row>
    <row r="32" spans="1:20" x14ac:dyDescent="0.25">
      <c r="A32">
        <v>31</v>
      </c>
      <c r="B32" t="s">
        <v>84</v>
      </c>
      <c r="C32">
        <v>7587695</v>
      </c>
      <c r="D32" t="s">
        <v>5</v>
      </c>
      <c r="E32">
        <v>27</v>
      </c>
      <c r="F32" t="s">
        <v>100</v>
      </c>
      <c r="G32" s="1">
        <v>45598</v>
      </c>
      <c r="H32" s="1" t="str">
        <f t="shared" si="0"/>
        <v>Nov</v>
      </c>
      <c r="I32" t="s">
        <v>10</v>
      </c>
      <c r="J32" t="s">
        <v>15</v>
      </c>
      <c r="K32" t="s">
        <v>69</v>
      </c>
      <c r="L32" t="s">
        <v>62</v>
      </c>
      <c r="M32" t="s">
        <v>65</v>
      </c>
      <c r="N32">
        <v>1</v>
      </c>
      <c r="O32" t="s">
        <v>23</v>
      </c>
      <c r="P32">
        <v>687</v>
      </c>
      <c r="Q32" t="s">
        <v>25</v>
      </c>
      <c r="R32">
        <v>473631</v>
      </c>
      <c r="S32" t="s">
        <v>97</v>
      </c>
      <c r="T32" t="b">
        <v>0</v>
      </c>
    </row>
    <row r="33" spans="1:20" x14ac:dyDescent="0.25">
      <c r="A33">
        <v>32</v>
      </c>
      <c r="B33" t="s">
        <v>85</v>
      </c>
      <c r="C33">
        <v>8757659</v>
      </c>
      <c r="D33" t="s">
        <v>5</v>
      </c>
      <c r="E33">
        <v>28</v>
      </c>
      <c r="F33" t="s">
        <v>100</v>
      </c>
      <c r="G33" s="1">
        <v>45629</v>
      </c>
      <c r="H33" s="1" t="str">
        <f t="shared" si="0"/>
        <v>Dec</v>
      </c>
      <c r="I33" t="s">
        <v>11</v>
      </c>
      <c r="J33" t="s">
        <v>17</v>
      </c>
      <c r="K33" t="s">
        <v>69</v>
      </c>
      <c r="L33" t="s">
        <v>62</v>
      </c>
      <c r="M33" t="s">
        <v>65</v>
      </c>
      <c r="N33">
        <v>1</v>
      </c>
      <c r="O33" t="s">
        <v>23</v>
      </c>
      <c r="P33">
        <v>5786</v>
      </c>
      <c r="Q33" t="s">
        <v>30</v>
      </c>
      <c r="R33">
        <v>484742</v>
      </c>
      <c r="S33" t="s">
        <v>97</v>
      </c>
      <c r="T33" t="b">
        <v>0</v>
      </c>
    </row>
    <row r="34" spans="1:20" x14ac:dyDescent="0.25">
      <c r="A34">
        <v>33</v>
      </c>
      <c r="B34" t="s">
        <v>86</v>
      </c>
      <c r="C34">
        <v>6798754</v>
      </c>
      <c r="D34" t="s">
        <v>6</v>
      </c>
      <c r="E34">
        <v>29</v>
      </c>
      <c r="F34" t="s">
        <v>100</v>
      </c>
      <c r="G34" s="1">
        <v>45630</v>
      </c>
      <c r="H34" s="1" t="str">
        <f t="shared" si="0"/>
        <v>Dec</v>
      </c>
      <c r="I34" t="s">
        <v>10</v>
      </c>
      <c r="J34" t="s">
        <v>16</v>
      </c>
      <c r="K34" t="s">
        <v>56</v>
      </c>
      <c r="L34" t="s">
        <v>63</v>
      </c>
      <c r="M34" t="s">
        <v>59</v>
      </c>
      <c r="N34">
        <v>1</v>
      </c>
      <c r="O34" t="s">
        <v>23</v>
      </c>
      <c r="P34">
        <v>578</v>
      </c>
      <c r="Q34" t="s">
        <v>30</v>
      </c>
      <c r="R34">
        <v>495853</v>
      </c>
      <c r="S34" t="s">
        <v>97</v>
      </c>
      <c r="T34" t="b">
        <v>0</v>
      </c>
    </row>
    <row r="35" spans="1:20" x14ac:dyDescent="0.25">
      <c r="A35">
        <v>34</v>
      </c>
      <c r="B35" t="s">
        <v>87</v>
      </c>
      <c r="C35">
        <v>5876975</v>
      </c>
      <c r="D35" t="s">
        <v>5</v>
      </c>
      <c r="E35">
        <v>30</v>
      </c>
      <c r="F35" t="s">
        <v>99</v>
      </c>
      <c r="G35" s="1">
        <v>45601</v>
      </c>
      <c r="H35" s="1" t="str">
        <f t="shared" si="0"/>
        <v>Nov</v>
      </c>
      <c r="I35" t="s">
        <v>10</v>
      </c>
      <c r="J35" t="s">
        <v>13</v>
      </c>
      <c r="K35" t="s">
        <v>56</v>
      </c>
      <c r="L35" t="s">
        <v>61</v>
      </c>
      <c r="M35" t="s">
        <v>59</v>
      </c>
      <c r="N35">
        <v>1</v>
      </c>
      <c r="O35" t="s">
        <v>23</v>
      </c>
      <c r="P35">
        <v>583</v>
      </c>
      <c r="Q35" t="s">
        <v>24</v>
      </c>
      <c r="R35">
        <v>506964</v>
      </c>
      <c r="S35" t="s">
        <v>97</v>
      </c>
      <c r="T35" t="b">
        <v>0</v>
      </c>
    </row>
    <row r="36" spans="1:20" x14ac:dyDescent="0.25">
      <c r="A36">
        <v>35</v>
      </c>
      <c r="B36" t="s">
        <v>88</v>
      </c>
      <c r="C36">
        <v>7646865</v>
      </c>
      <c r="D36" t="s">
        <v>5</v>
      </c>
      <c r="E36">
        <v>31</v>
      </c>
      <c r="F36" t="s">
        <v>99</v>
      </c>
      <c r="G36" s="1">
        <v>45632</v>
      </c>
      <c r="H36" s="1" t="str">
        <f t="shared" si="0"/>
        <v>Dec</v>
      </c>
      <c r="I36" t="s">
        <v>10</v>
      </c>
      <c r="J36" t="s">
        <v>15</v>
      </c>
      <c r="K36" t="s">
        <v>57</v>
      </c>
      <c r="L36" t="s">
        <v>63</v>
      </c>
      <c r="M36" t="s">
        <v>60</v>
      </c>
      <c r="N36">
        <v>1</v>
      </c>
      <c r="O36" t="s">
        <v>23</v>
      </c>
      <c r="P36">
        <v>676</v>
      </c>
      <c r="Q36" t="s">
        <v>28</v>
      </c>
      <c r="R36">
        <v>518075</v>
      </c>
      <c r="S36" t="s">
        <v>97</v>
      </c>
      <c r="T36" t="b">
        <v>0</v>
      </c>
    </row>
    <row r="37" spans="1:20" x14ac:dyDescent="0.25">
      <c r="A37">
        <v>36</v>
      </c>
      <c r="B37" t="s">
        <v>89</v>
      </c>
      <c r="C37">
        <v>6786665</v>
      </c>
      <c r="D37" t="s">
        <v>5</v>
      </c>
      <c r="E37">
        <v>32</v>
      </c>
      <c r="F37" t="s">
        <v>99</v>
      </c>
      <c r="G37" s="1">
        <v>45633</v>
      </c>
      <c r="H37" s="1" t="str">
        <f t="shared" si="0"/>
        <v>Dec</v>
      </c>
      <c r="I37" t="s">
        <v>11</v>
      </c>
      <c r="J37" t="s">
        <v>15</v>
      </c>
      <c r="K37" t="s">
        <v>69</v>
      </c>
      <c r="L37" t="s">
        <v>62</v>
      </c>
      <c r="M37" t="s">
        <v>65</v>
      </c>
      <c r="N37">
        <v>1</v>
      </c>
      <c r="O37" t="s">
        <v>23</v>
      </c>
      <c r="P37">
        <v>587</v>
      </c>
      <c r="Q37" t="s">
        <v>25</v>
      </c>
      <c r="R37">
        <v>529186</v>
      </c>
      <c r="S37" t="s">
        <v>97</v>
      </c>
      <c r="T37" t="b">
        <v>0</v>
      </c>
    </row>
    <row r="38" spans="1:20" x14ac:dyDescent="0.25">
      <c r="A38">
        <v>37</v>
      </c>
      <c r="B38" t="s">
        <v>90</v>
      </c>
      <c r="C38">
        <v>6789767</v>
      </c>
      <c r="D38" t="s">
        <v>6</v>
      </c>
      <c r="E38">
        <v>32</v>
      </c>
      <c r="F38" t="s">
        <v>99</v>
      </c>
      <c r="G38" s="1">
        <v>45604</v>
      </c>
      <c r="H38" s="1" t="str">
        <f t="shared" si="0"/>
        <v>Nov</v>
      </c>
      <c r="I38" t="s">
        <v>10</v>
      </c>
      <c r="J38" t="s">
        <v>17</v>
      </c>
      <c r="K38" t="s">
        <v>70</v>
      </c>
      <c r="L38" t="s">
        <v>62</v>
      </c>
      <c r="M38" t="s">
        <v>66</v>
      </c>
      <c r="N38">
        <v>1</v>
      </c>
      <c r="O38" t="s">
        <v>23</v>
      </c>
      <c r="P38">
        <v>174</v>
      </c>
      <c r="Q38" t="s">
        <v>30</v>
      </c>
      <c r="R38">
        <v>540297</v>
      </c>
      <c r="S38" t="s">
        <v>97</v>
      </c>
      <c r="T38" t="b">
        <v>0</v>
      </c>
    </row>
    <row r="39" spans="1:20" x14ac:dyDescent="0.25">
      <c r="A39">
        <v>38</v>
      </c>
      <c r="B39" t="s">
        <v>91</v>
      </c>
      <c r="C39">
        <v>2182973</v>
      </c>
      <c r="D39" t="s">
        <v>5</v>
      </c>
      <c r="E39">
        <v>26</v>
      </c>
      <c r="F39" t="s">
        <v>100</v>
      </c>
      <c r="G39" s="1">
        <v>45635</v>
      </c>
      <c r="H39" s="1" t="str">
        <f t="shared" si="0"/>
        <v>Dec</v>
      </c>
      <c r="I39" t="s">
        <v>10</v>
      </c>
      <c r="J39" t="s">
        <v>13</v>
      </c>
      <c r="K39" t="s">
        <v>71</v>
      </c>
      <c r="L39" t="s">
        <v>62</v>
      </c>
      <c r="M39" t="s">
        <v>67</v>
      </c>
      <c r="N39">
        <v>1</v>
      </c>
      <c r="O39" t="s">
        <v>23</v>
      </c>
      <c r="P39">
        <v>268</v>
      </c>
      <c r="Q39" t="s">
        <v>30</v>
      </c>
      <c r="R39">
        <v>551408</v>
      </c>
      <c r="S39" t="s">
        <v>97</v>
      </c>
      <c r="T39" t="b">
        <v>0</v>
      </c>
    </row>
    <row r="40" spans="1:20" x14ac:dyDescent="0.25">
      <c r="A40">
        <v>39</v>
      </c>
      <c r="B40" t="s">
        <v>92</v>
      </c>
      <c r="C40">
        <v>1773848</v>
      </c>
      <c r="D40" t="s">
        <v>6</v>
      </c>
      <c r="E40">
        <v>21</v>
      </c>
      <c r="F40" t="s">
        <v>100</v>
      </c>
      <c r="G40" s="1">
        <v>45636</v>
      </c>
      <c r="H40" s="1" t="str">
        <f t="shared" si="0"/>
        <v>Dec</v>
      </c>
      <c r="I40" t="s">
        <v>11</v>
      </c>
      <c r="J40" t="s">
        <v>15</v>
      </c>
      <c r="K40" t="s">
        <v>55</v>
      </c>
      <c r="L40" t="s">
        <v>63</v>
      </c>
      <c r="M40" t="s">
        <v>58</v>
      </c>
      <c r="N40">
        <v>1</v>
      </c>
      <c r="O40" t="s">
        <v>23</v>
      </c>
      <c r="P40">
        <v>684</v>
      </c>
      <c r="Q40" t="s">
        <v>30</v>
      </c>
      <c r="R40">
        <v>562519</v>
      </c>
      <c r="S40" t="s">
        <v>97</v>
      </c>
      <c r="T40" t="b">
        <v>0</v>
      </c>
    </row>
    <row r="41" spans="1:20" x14ac:dyDescent="0.25">
      <c r="A41">
        <v>40</v>
      </c>
      <c r="B41" t="s">
        <v>93</v>
      </c>
      <c r="C41">
        <v>4656267</v>
      </c>
      <c r="D41" t="s">
        <v>5</v>
      </c>
      <c r="E41">
        <v>20</v>
      </c>
      <c r="F41" t="s">
        <v>100</v>
      </c>
      <c r="G41" s="1">
        <v>45607</v>
      </c>
      <c r="H41" s="1" t="str">
        <f t="shared" si="0"/>
        <v>Nov</v>
      </c>
      <c r="I41" t="s">
        <v>10</v>
      </c>
      <c r="J41" t="s">
        <v>14</v>
      </c>
      <c r="K41" t="s">
        <v>69</v>
      </c>
      <c r="L41" t="s">
        <v>62</v>
      </c>
      <c r="M41" t="s">
        <v>65</v>
      </c>
      <c r="N41">
        <v>1</v>
      </c>
      <c r="O41" t="s">
        <v>23</v>
      </c>
      <c r="P41">
        <v>467</v>
      </c>
      <c r="Q41" t="s">
        <v>24</v>
      </c>
      <c r="R41">
        <v>573630</v>
      </c>
      <c r="S41" t="s">
        <v>97</v>
      </c>
      <c r="T41" t="b">
        <v>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 Virnda Store Report 2024</vt:lpstr>
      <vt:lpstr>Sales Vs orders</vt:lpstr>
      <vt:lpstr>Men vs Women</vt:lpstr>
      <vt:lpstr>Order Status</vt:lpstr>
      <vt:lpstr>States</vt:lpstr>
      <vt:lpstr>Age &amp; Gender</vt:lpstr>
      <vt:lpstr>Channels</vt:lpstr>
      <vt:lpstr>Virnda store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kanchan rana</dc:creator>
  <cp:lastModifiedBy>kanchan rana</cp:lastModifiedBy>
  <dcterms:created xsi:type="dcterms:W3CDTF">2024-09-29T14:52:54Z</dcterms:created>
  <dcterms:modified xsi:type="dcterms:W3CDTF">2025-12-19T06:33:58Z</dcterms:modified>
</cp:coreProperties>
</file>